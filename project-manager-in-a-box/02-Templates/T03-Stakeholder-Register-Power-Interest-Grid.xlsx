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Lists" sheetId="3" state="visible" r:id="rId3"/>
  </sheets>
  <definedNames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_FilterDatabase" localSheetId="1" hidden="1">'Stakeholders'!$A$4:$M$64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5B6B7C"/>
        <bgColor rgb="005B6B7C"/>
      </patternFill>
    </fill>
    <fill>
      <patternFill patternType="solid">
        <fgColor rgb="00F1F3F5"/>
        <bgColor rgb="00F1F3F5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/>
    </xf>
    <xf numFmtId="0" fontId="10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0" fillId="2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D03B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T03 – Stakeholder Register &amp; Power/Interest Grid</t>
        </is>
      </c>
    </row>
    <row r="3">
      <c r="B3" s="3" t="inlineStr">
        <is>
          <t>Lists everyone affected by or able to affect the project, and plans how to engage each one.</t>
        </is>
      </c>
    </row>
    <row r="5">
      <c r="B5" s="4" t="inlineStr">
        <is>
          <t>How to use this template</t>
        </is>
      </c>
    </row>
    <row r="6">
      <c r="B6" s="5" t="inlineStr">
        <is>
          <t>1. Brainstorm names with the sponsor; ask each stakeholder ‘who else should I talk to?’</t>
        </is>
      </c>
    </row>
    <row r="7">
      <c r="B7" s="5" t="inlineStr">
        <is>
          <t>2. Score Power and Interest 1–5. The grid quadrant is calculated automatically.</t>
        </is>
      </c>
    </row>
    <row r="8">
      <c r="B8" s="5" t="inlineStr">
        <is>
          <t>3. Set Current vs Desired engagement (Unaware, Resistant, Neutral, Supportive, Leading).</t>
        </is>
      </c>
    </row>
    <row r="9">
      <c r="B9" s="5" t="inlineStr">
        <is>
          <t>4. Write one concrete engagement action for every gap between current and desired.</t>
        </is>
      </c>
    </row>
    <row r="10">
      <c r="B10" s="5" t="inlineStr">
        <is>
          <t>5. Review monthly. People change roles and their attitudes change.</t>
        </is>
      </c>
    </row>
    <row r="12">
      <c r="B12" s="6" t="inlineStr">
        <is>
          <t>Used in: Step 1.3 – Identify and analyze stakeholders; Step 2.7 – Plan communications and stakeholder engagement; Step 4.3 – Monitor risks, issues and stakeholder engagement</t>
        </is>
      </c>
    </row>
    <row r="13">
      <c r="B13" s="7" t="inlineStr">
        <is>
          <t>Legend: navy column headers = you fill in; grey headers and cells = calculated automatically; the grey italic row above the headers shows the expected format.</t>
        </is>
      </c>
    </row>
    <row r="15">
      <c r="B15" s="8" t="inlineStr">
        <is>
          <t>© 2026 James Pearson. “Project Manager in a Box” by James Pearson, licensed under CC BY-NC-SA 4.0 (https://creativecommons.org/licenses/by-nc-sa/4.0/).</t>
        </is>
      </c>
    </row>
    <row r="16">
      <c r="B16" s="9" t="inlineStr">
        <is>
          <t>This template is also built into the Project Workbook (tab: Stakeholders).</t>
        </is>
      </c>
    </row>
    <row r="18">
      <c r="B18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8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5" customWidth="1" min="6" max="6"/>
    <col width="12" customWidth="1" min="7" max="7"/>
    <col width="12" customWidth="1" min="8" max="8"/>
    <col width="7" customWidth="1" min="9" max="9"/>
    <col width="34" customWidth="1" min="10" max="10"/>
    <col width="16" customWidth="1" min="11" max="11"/>
    <col width="13" customWidth="1" min="12" max="12"/>
    <col width="24" customWidth="1" min="13" max="13"/>
  </cols>
  <sheetData>
    <row r="1" ht="26" customHeight="1">
      <c r="A1" s="10" t="inlineStr">
        <is>
          <t>Stakeholder register</t>
        </is>
      </c>
      <c r="C1" s="11" t="inlineStr">
        <is>
          <t>Latest version (click)</t>
        </is>
      </c>
    </row>
    <row r="2">
      <c r="A2" s="6" t="inlineStr">
        <is>
          <t>Template T03. Score Power and Interest 1–5. Quadrant: Manage closely (high/high), Keep satisfied (high power), Keep informed (high interest), Monitor.</t>
        </is>
      </c>
    </row>
    <row r="3">
      <c r="A3" s="12" t="inlineStr">
        <is>
          <t>e.g. Site coordinators</t>
        </is>
      </c>
      <c r="B3" s="12" t="inlineStr">
        <is>
          <t>Key users</t>
        </is>
      </c>
      <c r="C3" s="12" t="inlineStr">
        <is>
          <t>Operations</t>
        </is>
      </c>
      <c r="D3" s="12" t="n">
        <v>3</v>
      </c>
      <c r="E3" s="12" t="n">
        <v>5</v>
      </c>
      <c r="G3" s="12" t="inlineStr">
        <is>
          <t>Resistant</t>
        </is>
      </c>
      <c r="H3" s="12" t="inlineStr">
        <is>
          <t>Supportive</t>
        </is>
      </c>
      <c r="J3" s="12" t="inlineStr">
        <is>
          <t>Co-design sessions</t>
        </is>
      </c>
      <c r="K3" s="12" t="inlineStr">
        <is>
          <t>Site huddles</t>
        </is>
      </c>
      <c r="L3" s="12" t="inlineStr">
        <is>
          <t>P. Shah</t>
        </is>
      </c>
    </row>
    <row r="4" ht="32" customHeight="1">
      <c r="A4" s="13" t="inlineStr">
        <is>
          <t>Name / group</t>
        </is>
      </c>
      <c r="B4" s="13" t="inlineStr">
        <is>
          <t>Role</t>
        </is>
      </c>
      <c r="C4" s="13" t="inlineStr">
        <is>
          <t>Organization</t>
        </is>
      </c>
      <c r="D4" s="13" t="inlineStr">
        <is>
          <t>Power (1–5)</t>
        </is>
      </c>
      <c r="E4" s="13" t="inlineStr">
        <is>
          <t>Interest (1–5)</t>
        </is>
      </c>
      <c r="F4" s="14" t="inlineStr">
        <is>
          <t>Grid quadrant (auto)</t>
        </is>
      </c>
      <c r="G4" s="13" t="inlineStr">
        <is>
          <t>Current engagement</t>
        </is>
      </c>
      <c r="H4" s="13" t="inlineStr">
        <is>
          <t>Desired engagement</t>
        </is>
      </c>
      <c r="I4" s="14" t="inlineStr">
        <is>
          <t>Gap? (auto)</t>
        </is>
      </c>
      <c r="J4" s="13" t="inlineStr">
        <is>
          <t>Engagement action</t>
        </is>
      </c>
      <c r="K4" s="13" t="inlineStr">
        <is>
          <t>Preferred channel</t>
        </is>
      </c>
      <c r="L4" s="13" t="inlineStr">
        <is>
          <t>Owner</t>
        </is>
      </c>
      <c r="M4" s="13" t="inlineStr">
        <is>
          <t>Notes</t>
        </is>
      </c>
    </row>
    <row r="5">
      <c r="A5" s="15" t="n"/>
      <c r="B5" s="15" t="n"/>
      <c r="C5" s="15" t="n"/>
      <c r="D5" s="15" t="n"/>
      <c r="E5" s="15" t="n"/>
      <c r="F5" s="16" t="str">
        <f>IF(OR(D5="",E5=""),"",IF(AND(D5&gt;=3,E5&gt;=3),"Manage closely",IF(D5&gt;=3,"Keep satisfied",IF(E5&gt;=3,"Keep informed","Monitor"))))</f>
        <v/>
      </c>
      <c r="G5" s="15" t="n"/>
      <c r="H5" s="15" t="n"/>
      <c r="I5" s="16" t="str">
        <f>IF(OR(G5="",H5=""),"",IF(MATCH(G5,EngList,0)&lt;MATCH(H5,EngList,0),"Gap","OK"))</f>
        <v/>
      </c>
      <c r="J5" s="15" t="n"/>
      <c r="K5" s="15" t="n"/>
      <c r="L5" s="15" t="n"/>
      <c r="M5" s="15" t="n"/>
    </row>
    <row r="6">
      <c r="A6" s="15" t="n"/>
      <c r="B6" s="15" t="n"/>
      <c r="C6" s="15" t="n"/>
      <c r="D6" s="15" t="n"/>
      <c r="E6" s="15" t="n"/>
      <c r="F6" s="16" t="str">
        <f>IF(OR(D6="",E6=""),"",IF(AND(D6&gt;=3,E6&gt;=3),"Manage closely",IF(D6&gt;=3,"Keep satisfied",IF(E6&gt;=3,"Keep informed","Monitor"))))</f>
        <v/>
      </c>
      <c r="G6" s="15" t="n"/>
      <c r="H6" s="15" t="n"/>
      <c r="I6" s="16" t="str">
        <f>IF(OR(G6="",H6=""),"",IF(MATCH(G6,EngList,0)&lt;MATCH(H6,EngList,0),"Gap","OK"))</f>
        <v/>
      </c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6" t="str">
        <f>IF(OR(D7="",E7=""),"",IF(AND(D7&gt;=3,E7&gt;=3),"Manage closely",IF(D7&gt;=3,"Keep satisfied",IF(E7&gt;=3,"Keep informed","Monitor"))))</f>
        <v/>
      </c>
      <c r="G7" s="15" t="n"/>
      <c r="H7" s="15" t="n"/>
      <c r="I7" s="16" t="str">
        <f>IF(OR(G7="",H7=""),"",IF(MATCH(G7,EngList,0)&lt;MATCH(H7,EngList,0),"Gap","OK"))</f>
        <v/>
      </c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6" t="str">
        <f>IF(OR(D8="",E8=""),"",IF(AND(D8&gt;=3,E8&gt;=3),"Manage closely",IF(D8&gt;=3,"Keep satisfied",IF(E8&gt;=3,"Keep informed","Monitor"))))</f>
        <v/>
      </c>
      <c r="G8" s="15" t="n"/>
      <c r="H8" s="15" t="n"/>
      <c r="I8" s="16" t="str">
        <f>IF(OR(G8="",H8=""),"",IF(MATCH(G8,EngList,0)&lt;MATCH(H8,EngList,0),"Gap","OK"))</f>
        <v/>
      </c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6" t="str">
        <f>IF(OR(D9="",E9=""),"",IF(AND(D9&gt;=3,E9&gt;=3),"Manage closely",IF(D9&gt;=3,"Keep satisfied",IF(E9&gt;=3,"Keep informed","Monitor"))))</f>
        <v/>
      </c>
      <c r="G9" s="15" t="n"/>
      <c r="H9" s="15" t="n"/>
      <c r="I9" s="16" t="str">
        <f>IF(OR(G9="",H9=""),"",IF(MATCH(G9,EngList,0)&lt;MATCH(H9,EngList,0),"Gap","OK"))</f>
        <v/>
      </c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6" t="str">
        <f>IF(OR(D10="",E10=""),"",IF(AND(D10&gt;=3,E10&gt;=3),"Manage closely",IF(D10&gt;=3,"Keep satisfied",IF(E10&gt;=3,"Keep informed","Monitor"))))</f>
        <v/>
      </c>
      <c r="G10" s="15" t="n"/>
      <c r="H10" s="15" t="n"/>
      <c r="I10" s="16" t="str">
        <f>IF(OR(G10="",H10=""),"",IF(MATCH(G10,EngList,0)&lt;MATCH(H10,EngList,0),"Gap","OK"))</f>
        <v/>
      </c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6" t="str">
        <f>IF(OR(D11="",E11=""),"",IF(AND(D11&gt;=3,E11&gt;=3),"Manage closely",IF(D11&gt;=3,"Keep satisfied",IF(E11&gt;=3,"Keep informed","Monitor"))))</f>
        <v/>
      </c>
      <c r="G11" s="15" t="n"/>
      <c r="H11" s="15" t="n"/>
      <c r="I11" s="16" t="str">
        <f>IF(OR(G11="",H11=""),"",IF(MATCH(G11,EngList,0)&lt;MATCH(H11,EngList,0),"Gap","OK"))</f>
        <v/>
      </c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6" t="str">
        <f>IF(OR(D12="",E12=""),"",IF(AND(D12&gt;=3,E12&gt;=3),"Manage closely",IF(D12&gt;=3,"Keep satisfied",IF(E12&gt;=3,"Keep informed","Monitor"))))</f>
        <v/>
      </c>
      <c r="G12" s="15" t="n"/>
      <c r="H12" s="15" t="n"/>
      <c r="I12" s="16" t="str">
        <f>IF(OR(G12="",H12=""),"",IF(MATCH(G12,EngList,0)&lt;MATCH(H12,EngList,0),"Gap","OK"))</f>
        <v/>
      </c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6" t="str">
        <f>IF(OR(D13="",E13=""),"",IF(AND(D13&gt;=3,E13&gt;=3),"Manage closely",IF(D13&gt;=3,"Keep satisfied",IF(E13&gt;=3,"Keep informed","Monitor"))))</f>
        <v/>
      </c>
      <c r="G13" s="15" t="n"/>
      <c r="H13" s="15" t="n"/>
      <c r="I13" s="16" t="str">
        <f>IF(OR(G13="",H13=""),"",IF(MATCH(G13,EngList,0)&lt;MATCH(H13,EngList,0),"Gap","OK"))</f>
        <v/>
      </c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6" t="str">
        <f>IF(OR(D14="",E14=""),"",IF(AND(D14&gt;=3,E14&gt;=3),"Manage closely",IF(D14&gt;=3,"Keep satisfied",IF(E14&gt;=3,"Keep informed","Monitor"))))</f>
        <v/>
      </c>
      <c r="G14" s="15" t="n"/>
      <c r="H14" s="15" t="n"/>
      <c r="I14" s="16" t="str">
        <f>IF(OR(G14="",H14=""),"",IF(MATCH(G14,EngList,0)&lt;MATCH(H14,EngList,0),"Gap","OK"))</f>
        <v/>
      </c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6" t="str">
        <f>IF(OR(D15="",E15=""),"",IF(AND(D15&gt;=3,E15&gt;=3),"Manage closely",IF(D15&gt;=3,"Keep satisfied",IF(E15&gt;=3,"Keep informed","Monitor"))))</f>
        <v/>
      </c>
      <c r="G15" s="15" t="n"/>
      <c r="H15" s="15" t="n"/>
      <c r="I15" s="16" t="str">
        <f>IF(OR(G15="",H15=""),"",IF(MATCH(G15,EngList,0)&lt;MATCH(H15,EngList,0),"Gap","OK"))</f>
        <v/>
      </c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6" t="str">
        <f>IF(OR(D16="",E16=""),"",IF(AND(D16&gt;=3,E16&gt;=3),"Manage closely",IF(D16&gt;=3,"Keep satisfied",IF(E16&gt;=3,"Keep informed","Monitor"))))</f>
        <v/>
      </c>
      <c r="G16" s="15" t="n"/>
      <c r="H16" s="15" t="n"/>
      <c r="I16" s="16" t="str">
        <f>IF(OR(G16="",H16=""),"",IF(MATCH(G16,EngList,0)&lt;MATCH(H16,EngList,0),"Gap","OK"))</f>
        <v/>
      </c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6" t="str">
        <f>IF(OR(D17="",E17=""),"",IF(AND(D17&gt;=3,E17&gt;=3),"Manage closely",IF(D17&gt;=3,"Keep satisfied",IF(E17&gt;=3,"Keep informed","Monitor"))))</f>
        <v/>
      </c>
      <c r="G17" s="15" t="n"/>
      <c r="H17" s="15" t="n"/>
      <c r="I17" s="16" t="str">
        <f>IF(OR(G17="",H17=""),"",IF(MATCH(G17,EngList,0)&lt;MATCH(H17,EngList,0),"Gap","OK"))</f>
        <v/>
      </c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6" t="str">
        <f>IF(OR(D18="",E18=""),"",IF(AND(D18&gt;=3,E18&gt;=3),"Manage closely",IF(D18&gt;=3,"Keep satisfied",IF(E18&gt;=3,"Keep informed","Monitor"))))</f>
        <v/>
      </c>
      <c r="G18" s="15" t="n"/>
      <c r="H18" s="15" t="n"/>
      <c r="I18" s="16" t="str">
        <f>IF(OR(G18="",H18=""),"",IF(MATCH(G18,EngList,0)&lt;MATCH(H18,EngList,0),"Gap","OK"))</f>
        <v/>
      </c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6" t="str">
        <f>IF(OR(D19="",E19=""),"",IF(AND(D19&gt;=3,E19&gt;=3),"Manage closely",IF(D19&gt;=3,"Keep satisfied",IF(E19&gt;=3,"Keep informed","Monitor"))))</f>
        <v/>
      </c>
      <c r="G19" s="15" t="n"/>
      <c r="H19" s="15" t="n"/>
      <c r="I19" s="16" t="str">
        <f>IF(OR(G19="",H19=""),"",IF(MATCH(G19,EngList,0)&lt;MATCH(H19,EngList,0),"Gap","OK"))</f>
        <v/>
      </c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6" t="str">
        <f>IF(OR(D20="",E20=""),"",IF(AND(D20&gt;=3,E20&gt;=3),"Manage closely",IF(D20&gt;=3,"Keep satisfied",IF(E20&gt;=3,"Keep informed","Monitor"))))</f>
        <v/>
      </c>
      <c r="G20" s="15" t="n"/>
      <c r="H20" s="15" t="n"/>
      <c r="I20" s="16" t="str">
        <f>IF(OR(G20="",H20=""),"",IF(MATCH(G20,EngList,0)&lt;MATCH(H20,EngList,0),"Gap","OK"))</f>
        <v/>
      </c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6" t="str">
        <f>IF(OR(D21="",E21=""),"",IF(AND(D21&gt;=3,E21&gt;=3),"Manage closely",IF(D21&gt;=3,"Keep satisfied",IF(E21&gt;=3,"Keep informed","Monitor"))))</f>
        <v/>
      </c>
      <c r="G21" s="15" t="n"/>
      <c r="H21" s="15" t="n"/>
      <c r="I21" s="16" t="str">
        <f>IF(OR(G21="",H21=""),"",IF(MATCH(G21,EngList,0)&lt;MATCH(H21,EngList,0),"Gap","OK"))</f>
        <v/>
      </c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6" t="str">
        <f>IF(OR(D22="",E22=""),"",IF(AND(D22&gt;=3,E22&gt;=3),"Manage closely",IF(D22&gt;=3,"Keep satisfied",IF(E22&gt;=3,"Keep informed","Monitor"))))</f>
        <v/>
      </c>
      <c r="G22" s="15" t="n"/>
      <c r="H22" s="15" t="n"/>
      <c r="I22" s="16" t="str">
        <f>IF(OR(G22="",H22=""),"",IF(MATCH(G22,EngList,0)&lt;MATCH(H22,EngList,0),"Gap","OK"))</f>
        <v/>
      </c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6" t="str">
        <f>IF(OR(D23="",E23=""),"",IF(AND(D23&gt;=3,E23&gt;=3),"Manage closely",IF(D23&gt;=3,"Keep satisfied",IF(E23&gt;=3,"Keep informed","Monitor"))))</f>
        <v/>
      </c>
      <c r="G23" s="15" t="n"/>
      <c r="H23" s="15" t="n"/>
      <c r="I23" s="16" t="str">
        <f>IF(OR(G23="",H23=""),"",IF(MATCH(G23,EngList,0)&lt;MATCH(H23,EngList,0),"Gap","OK"))</f>
        <v/>
      </c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6" t="str">
        <f>IF(OR(D24="",E24=""),"",IF(AND(D24&gt;=3,E24&gt;=3),"Manage closely",IF(D24&gt;=3,"Keep satisfied",IF(E24&gt;=3,"Keep informed","Monitor"))))</f>
        <v/>
      </c>
      <c r="G24" s="15" t="n"/>
      <c r="H24" s="15" t="n"/>
      <c r="I24" s="16" t="str">
        <f>IF(OR(G24="",H24=""),"",IF(MATCH(G24,EngList,0)&lt;MATCH(H24,EngList,0),"Gap","OK"))</f>
        <v/>
      </c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6" t="str">
        <f>IF(OR(D25="",E25=""),"",IF(AND(D25&gt;=3,E25&gt;=3),"Manage closely",IF(D25&gt;=3,"Keep satisfied",IF(E25&gt;=3,"Keep informed","Monitor"))))</f>
        <v/>
      </c>
      <c r="G25" s="15" t="n"/>
      <c r="H25" s="15" t="n"/>
      <c r="I25" s="16" t="str">
        <f>IF(OR(G25="",H25=""),"",IF(MATCH(G25,EngList,0)&lt;MATCH(H25,EngList,0),"Gap","OK"))</f>
        <v/>
      </c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6" t="str">
        <f>IF(OR(D26="",E26=""),"",IF(AND(D26&gt;=3,E26&gt;=3),"Manage closely",IF(D26&gt;=3,"Keep satisfied",IF(E26&gt;=3,"Keep informed","Monitor"))))</f>
        <v/>
      </c>
      <c r="G26" s="15" t="n"/>
      <c r="H26" s="15" t="n"/>
      <c r="I26" s="16" t="str">
        <f>IF(OR(G26="",H26=""),"",IF(MATCH(G26,EngList,0)&lt;MATCH(H26,EngList,0),"Gap","OK"))</f>
        <v/>
      </c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6" t="str">
        <f>IF(OR(D27="",E27=""),"",IF(AND(D27&gt;=3,E27&gt;=3),"Manage closely",IF(D27&gt;=3,"Keep satisfied",IF(E27&gt;=3,"Keep informed","Monitor"))))</f>
        <v/>
      </c>
      <c r="G27" s="15" t="n"/>
      <c r="H27" s="15" t="n"/>
      <c r="I27" s="16" t="str">
        <f>IF(OR(G27="",H27=""),"",IF(MATCH(G27,EngList,0)&lt;MATCH(H27,EngList,0),"Gap","OK"))</f>
        <v/>
      </c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6" t="str">
        <f>IF(OR(D28="",E28=""),"",IF(AND(D28&gt;=3,E28&gt;=3),"Manage closely",IF(D28&gt;=3,"Keep satisfied",IF(E28&gt;=3,"Keep informed","Monitor"))))</f>
        <v/>
      </c>
      <c r="G28" s="15" t="n"/>
      <c r="H28" s="15" t="n"/>
      <c r="I28" s="16" t="str">
        <f>IF(OR(G28="",H28=""),"",IF(MATCH(G28,EngList,0)&lt;MATCH(H28,EngList,0),"Gap","OK"))</f>
        <v/>
      </c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6" t="str">
        <f>IF(OR(D29="",E29=""),"",IF(AND(D29&gt;=3,E29&gt;=3),"Manage closely",IF(D29&gt;=3,"Keep satisfied",IF(E29&gt;=3,"Keep informed","Monitor"))))</f>
        <v/>
      </c>
      <c r="G29" s="15" t="n"/>
      <c r="H29" s="15" t="n"/>
      <c r="I29" s="16" t="str">
        <f>IF(OR(G29="",H29=""),"",IF(MATCH(G29,EngList,0)&lt;MATCH(H29,EngList,0),"Gap","OK"))</f>
        <v/>
      </c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6" t="str">
        <f>IF(OR(D30="",E30=""),"",IF(AND(D30&gt;=3,E30&gt;=3),"Manage closely",IF(D30&gt;=3,"Keep satisfied",IF(E30&gt;=3,"Keep informed","Monitor"))))</f>
        <v/>
      </c>
      <c r="G30" s="15" t="n"/>
      <c r="H30" s="15" t="n"/>
      <c r="I30" s="16" t="str">
        <f>IF(OR(G30="",H30=""),"",IF(MATCH(G30,EngList,0)&lt;MATCH(H30,EngList,0),"Gap","OK"))</f>
        <v/>
      </c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6" t="str">
        <f>IF(OR(D31="",E31=""),"",IF(AND(D31&gt;=3,E31&gt;=3),"Manage closely",IF(D31&gt;=3,"Keep satisfied",IF(E31&gt;=3,"Keep informed","Monitor"))))</f>
        <v/>
      </c>
      <c r="G31" s="15" t="n"/>
      <c r="H31" s="15" t="n"/>
      <c r="I31" s="16" t="str">
        <f>IF(OR(G31="",H31=""),"",IF(MATCH(G31,EngList,0)&lt;MATCH(H31,EngList,0),"Gap","OK"))</f>
        <v/>
      </c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6" t="str">
        <f>IF(OR(D32="",E32=""),"",IF(AND(D32&gt;=3,E32&gt;=3),"Manage closely",IF(D32&gt;=3,"Keep satisfied",IF(E32&gt;=3,"Keep informed","Monitor"))))</f>
        <v/>
      </c>
      <c r="G32" s="15" t="n"/>
      <c r="H32" s="15" t="n"/>
      <c r="I32" s="16" t="str">
        <f>IF(OR(G32="",H32=""),"",IF(MATCH(G32,EngList,0)&lt;MATCH(H32,EngList,0),"Gap","OK"))</f>
        <v/>
      </c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6" t="str">
        <f>IF(OR(D33="",E33=""),"",IF(AND(D33&gt;=3,E33&gt;=3),"Manage closely",IF(D33&gt;=3,"Keep satisfied",IF(E33&gt;=3,"Keep informed","Monitor"))))</f>
        <v/>
      </c>
      <c r="G33" s="15" t="n"/>
      <c r="H33" s="15" t="n"/>
      <c r="I33" s="16" t="str">
        <f>IF(OR(G33="",H33=""),"",IF(MATCH(G33,EngList,0)&lt;MATCH(H33,EngList,0),"Gap","OK"))</f>
        <v/>
      </c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6" t="str">
        <f>IF(OR(D34="",E34=""),"",IF(AND(D34&gt;=3,E34&gt;=3),"Manage closely",IF(D34&gt;=3,"Keep satisfied",IF(E34&gt;=3,"Keep informed","Monitor"))))</f>
        <v/>
      </c>
      <c r="G34" s="15" t="n"/>
      <c r="H34" s="15" t="n"/>
      <c r="I34" s="16" t="str">
        <f>IF(OR(G34="",H34=""),"",IF(MATCH(G34,EngList,0)&lt;MATCH(H34,EngList,0),"Gap","OK"))</f>
        <v/>
      </c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6" t="str">
        <f>IF(OR(D35="",E35=""),"",IF(AND(D35&gt;=3,E35&gt;=3),"Manage closely",IF(D35&gt;=3,"Keep satisfied",IF(E35&gt;=3,"Keep informed","Monitor"))))</f>
        <v/>
      </c>
      <c r="G35" s="15" t="n"/>
      <c r="H35" s="15" t="n"/>
      <c r="I35" s="16" t="str">
        <f>IF(OR(G35="",H35=""),"",IF(MATCH(G35,EngList,0)&lt;MATCH(H35,EngList,0),"Gap","OK"))</f>
        <v/>
      </c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6" t="str">
        <f>IF(OR(D36="",E36=""),"",IF(AND(D36&gt;=3,E36&gt;=3),"Manage closely",IF(D36&gt;=3,"Keep satisfied",IF(E36&gt;=3,"Keep informed","Monitor"))))</f>
        <v/>
      </c>
      <c r="G36" s="15" t="n"/>
      <c r="H36" s="15" t="n"/>
      <c r="I36" s="16" t="str">
        <f>IF(OR(G36="",H36=""),"",IF(MATCH(G36,EngList,0)&lt;MATCH(H36,EngList,0),"Gap","OK"))</f>
        <v/>
      </c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6" t="str">
        <f>IF(OR(D37="",E37=""),"",IF(AND(D37&gt;=3,E37&gt;=3),"Manage closely",IF(D37&gt;=3,"Keep satisfied",IF(E37&gt;=3,"Keep informed","Monitor"))))</f>
        <v/>
      </c>
      <c r="G37" s="15" t="n"/>
      <c r="H37" s="15" t="n"/>
      <c r="I37" s="16" t="str">
        <f>IF(OR(G37="",H37=""),"",IF(MATCH(G37,EngList,0)&lt;MATCH(H37,EngList,0),"Gap","OK"))</f>
        <v/>
      </c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6" t="str">
        <f>IF(OR(D38="",E38=""),"",IF(AND(D38&gt;=3,E38&gt;=3),"Manage closely",IF(D38&gt;=3,"Keep satisfied",IF(E38&gt;=3,"Keep informed","Monitor"))))</f>
        <v/>
      </c>
      <c r="G38" s="15" t="n"/>
      <c r="H38" s="15" t="n"/>
      <c r="I38" s="16" t="str">
        <f>IF(OR(G38="",H38=""),"",IF(MATCH(G38,EngList,0)&lt;MATCH(H38,EngList,0),"Gap","OK"))</f>
        <v/>
      </c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6" t="str">
        <f>IF(OR(D39="",E39=""),"",IF(AND(D39&gt;=3,E39&gt;=3),"Manage closely",IF(D39&gt;=3,"Keep satisfied",IF(E39&gt;=3,"Keep informed","Monitor"))))</f>
        <v/>
      </c>
      <c r="G39" s="15" t="n"/>
      <c r="H39" s="15" t="n"/>
      <c r="I39" s="16" t="str">
        <f>IF(OR(G39="",H39=""),"",IF(MATCH(G39,EngList,0)&lt;MATCH(H39,EngList,0),"Gap","OK"))</f>
        <v/>
      </c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6" t="str">
        <f>IF(OR(D40="",E40=""),"",IF(AND(D40&gt;=3,E40&gt;=3),"Manage closely",IF(D40&gt;=3,"Keep satisfied",IF(E40&gt;=3,"Keep informed","Monitor"))))</f>
        <v/>
      </c>
      <c r="G40" s="15" t="n"/>
      <c r="H40" s="15" t="n"/>
      <c r="I40" s="16" t="str">
        <f>IF(OR(G40="",H40=""),"",IF(MATCH(G40,EngList,0)&lt;MATCH(H40,EngList,0),"Gap","OK"))</f>
        <v/>
      </c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6" t="str">
        <f>IF(OR(D41="",E41=""),"",IF(AND(D41&gt;=3,E41&gt;=3),"Manage closely",IF(D41&gt;=3,"Keep satisfied",IF(E41&gt;=3,"Keep informed","Monitor"))))</f>
        <v/>
      </c>
      <c r="G41" s="15" t="n"/>
      <c r="H41" s="15" t="n"/>
      <c r="I41" s="16" t="str">
        <f>IF(OR(G41="",H41=""),"",IF(MATCH(G41,EngList,0)&lt;MATCH(H41,EngList,0),"Gap","OK"))</f>
        <v/>
      </c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6" t="str">
        <f>IF(OR(D42="",E42=""),"",IF(AND(D42&gt;=3,E42&gt;=3),"Manage closely",IF(D42&gt;=3,"Keep satisfied",IF(E42&gt;=3,"Keep informed","Monitor"))))</f>
        <v/>
      </c>
      <c r="G42" s="15" t="n"/>
      <c r="H42" s="15" t="n"/>
      <c r="I42" s="16" t="str">
        <f>IF(OR(G42="",H42=""),"",IF(MATCH(G42,EngList,0)&lt;MATCH(H42,EngList,0),"Gap","OK"))</f>
        <v/>
      </c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6" t="str">
        <f>IF(OR(D43="",E43=""),"",IF(AND(D43&gt;=3,E43&gt;=3),"Manage closely",IF(D43&gt;=3,"Keep satisfied",IF(E43&gt;=3,"Keep informed","Monitor"))))</f>
        <v/>
      </c>
      <c r="G43" s="15" t="n"/>
      <c r="H43" s="15" t="n"/>
      <c r="I43" s="16" t="str">
        <f>IF(OR(G43="",H43=""),"",IF(MATCH(G43,EngList,0)&lt;MATCH(H43,EngList,0),"Gap","OK"))</f>
        <v/>
      </c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6" t="str">
        <f>IF(OR(D44="",E44=""),"",IF(AND(D44&gt;=3,E44&gt;=3),"Manage closely",IF(D44&gt;=3,"Keep satisfied",IF(E44&gt;=3,"Keep informed","Monitor"))))</f>
        <v/>
      </c>
      <c r="G44" s="15" t="n"/>
      <c r="H44" s="15" t="n"/>
      <c r="I44" s="16" t="str">
        <f>IF(OR(G44="",H44=""),"",IF(MATCH(G44,EngList,0)&lt;MATCH(H44,EngList,0),"Gap","OK"))</f>
        <v/>
      </c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6" t="str">
        <f>IF(OR(D45="",E45=""),"",IF(AND(D45&gt;=3,E45&gt;=3),"Manage closely",IF(D45&gt;=3,"Keep satisfied",IF(E45&gt;=3,"Keep informed","Monitor"))))</f>
        <v/>
      </c>
      <c r="G45" s="15" t="n"/>
      <c r="H45" s="15" t="n"/>
      <c r="I45" s="16" t="str">
        <f>IF(OR(G45="",H45=""),"",IF(MATCH(G45,EngList,0)&lt;MATCH(H45,EngList,0),"Gap","OK"))</f>
        <v/>
      </c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6" t="str">
        <f>IF(OR(D46="",E46=""),"",IF(AND(D46&gt;=3,E46&gt;=3),"Manage closely",IF(D46&gt;=3,"Keep satisfied",IF(E46&gt;=3,"Keep informed","Monitor"))))</f>
        <v/>
      </c>
      <c r="G46" s="15" t="n"/>
      <c r="H46" s="15" t="n"/>
      <c r="I46" s="16" t="str">
        <f>IF(OR(G46="",H46=""),"",IF(MATCH(G46,EngList,0)&lt;MATCH(H46,EngList,0),"Gap","OK"))</f>
        <v/>
      </c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6" t="str">
        <f>IF(OR(D47="",E47=""),"",IF(AND(D47&gt;=3,E47&gt;=3),"Manage closely",IF(D47&gt;=3,"Keep satisfied",IF(E47&gt;=3,"Keep informed","Monitor"))))</f>
        <v/>
      </c>
      <c r="G47" s="15" t="n"/>
      <c r="H47" s="15" t="n"/>
      <c r="I47" s="16" t="str">
        <f>IF(OR(G47="",H47=""),"",IF(MATCH(G47,EngList,0)&lt;MATCH(H47,EngList,0),"Gap","OK"))</f>
        <v/>
      </c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6" t="str">
        <f>IF(OR(D48="",E48=""),"",IF(AND(D48&gt;=3,E48&gt;=3),"Manage closely",IF(D48&gt;=3,"Keep satisfied",IF(E48&gt;=3,"Keep informed","Monitor"))))</f>
        <v/>
      </c>
      <c r="G48" s="15" t="n"/>
      <c r="H48" s="15" t="n"/>
      <c r="I48" s="16" t="str">
        <f>IF(OR(G48="",H48=""),"",IF(MATCH(G48,EngList,0)&lt;MATCH(H48,EngList,0),"Gap","OK"))</f>
        <v/>
      </c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6" t="str">
        <f>IF(OR(D49="",E49=""),"",IF(AND(D49&gt;=3,E49&gt;=3),"Manage closely",IF(D49&gt;=3,"Keep satisfied",IF(E49&gt;=3,"Keep informed","Monitor"))))</f>
        <v/>
      </c>
      <c r="G49" s="15" t="n"/>
      <c r="H49" s="15" t="n"/>
      <c r="I49" s="16" t="str">
        <f>IF(OR(G49="",H49=""),"",IF(MATCH(G49,EngList,0)&lt;MATCH(H49,EngList,0),"Gap","OK"))</f>
        <v/>
      </c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6" t="str">
        <f>IF(OR(D50="",E50=""),"",IF(AND(D50&gt;=3,E50&gt;=3),"Manage closely",IF(D50&gt;=3,"Keep satisfied",IF(E50&gt;=3,"Keep informed","Monitor"))))</f>
        <v/>
      </c>
      <c r="G50" s="15" t="n"/>
      <c r="H50" s="15" t="n"/>
      <c r="I50" s="16" t="str">
        <f>IF(OR(G50="",H50=""),"",IF(MATCH(G50,EngList,0)&lt;MATCH(H50,EngList,0),"Gap","OK"))</f>
        <v/>
      </c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6" t="str">
        <f>IF(OR(D51="",E51=""),"",IF(AND(D51&gt;=3,E51&gt;=3),"Manage closely",IF(D51&gt;=3,"Keep satisfied",IF(E51&gt;=3,"Keep informed","Monitor"))))</f>
        <v/>
      </c>
      <c r="G51" s="15" t="n"/>
      <c r="H51" s="15" t="n"/>
      <c r="I51" s="16" t="str">
        <f>IF(OR(G51="",H51=""),"",IF(MATCH(G51,EngList,0)&lt;MATCH(H51,EngList,0),"Gap","OK"))</f>
        <v/>
      </c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6" t="str">
        <f>IF(OR(D52="",E52=""),"",IF(AND(D52&gt;=3,E52&gt;=3),"Manage closely",IF(D52&gt;=3,"Keep satisfied",IF(E52&gt;=3,"Keep informed","Monitor"))))</f>
        <v/>
      </c>
      <c r="G52" s="15" t="n"/>
      <c r="H52" s="15" t="n"/>
      <c r="I52" s="16" t="str">
        <f>IF(OR(G52="",H52=""),"",IF(MATCH(G52,EngList,0)&lt;MATCH(H52,EngList,0),"Gap","OK"))</f>
        <v/>
      </c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6" t="str">
        <f>IF(OR(D53="",E53=""),"",IF(AND(D53&gt;=3,E53&gt;=3),"Manage closely",IF(D53&gt;=3,"Keep satisfied",IF(E53&gt;=3,"Keep informed","Monitor"))))</f>
        <v/>
      </c>
      <c r="G53" s="15" t="n"/>
      <c r="H53" s="15" t="n"/>
      <c r="I53" s="16" t="str">
        <f>IF(OR(G53="",H53=""),"",IF(MATCH(G53,EngList,0)&lt;MATCH(H53,EngList,0),"Gap","OK"))</f>
        <v/>
      </c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6" t="str">
        <f>IF(OR(D54="",E54=""),"",IF(AND(D54&gt;=3,E54&gt;=3),"Manage closely",IF(D54&gt;=3,"Keep satisfied",IF(E54&gt;=3,"Keep informed","Monitor"))))</f>
        <v/>
      </c>
      <c r="G54" s="15" t="n"/>
      <c r="H54" s="15" t="n"/>
      <c r="I54" s="16" t="str">
        <f>IF(OR(G54="",H54=""),"",IF(MATCH(G54,EngList,0)&lt;MATCH(H54,EngList,0),"Gap","OK"))</f>
        <v/>
      </c>
      <c r="J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E55" s="15" t="n"/>
      <c r="F55" s="16" t="str">
        <f>IF(OR(D55="",E55=""),"",IF(AND(D55&gt;=3,E55&gt;=3),"Manage closely",IF(D55&gt;=3,"Keep satisfied",IF(E55&gt;=3,"Keep informed","Monitor"))))</f>
        <v/>
      </c>
      <c r="G55" s="15" t="n"/>
      <c r="H55" s="15" t="n"/>
      <c r="I55" s="16" t="str">
        <f>IF(OR(G55="",H55=""),"",IF(MATCH(G55,EngList,0)&lt;MATCH(H55,EngList,0),"Gap","OK"))</f>
        <v/>
      </c>
      <c r="J55" s="15" t="n"/>
      <c r="K55" s="15" t="n"/>
      <c r="L55" s="15" t="n"/>
      <c r="M55" s="15" t="n"/>
    </row>
    <row r="56">
      <c r="A56" s="15" t="n"/>
      <c r="B56" s="15" t="n"/>
      <c r="C56" s="15" t="n"/>
      <c r="D56" s="15" t="n"/>
      <c r="E56" s="15" t="n"/>
      <c r="F56" s="16" t="str">
        <f>IF(OR(D56="",E56=""),"",IF(AND(D56&gt;=3,E56&gt;=3),"Manage closely",IF(D56&gt;=3,"Keep satisfied",IF(E56&gt;=3,"Keep informed","Monitor"))))</f>
        <v/>
      </c>
      <c r="G56" s="15" t="n"/>
      <c r="H56" s="15" t="n"/>
      <c r="I56" s="16" t="str">
        <f>IF(OR(G56="",H56=""),"",IF(MATCH(G56,EngList,0)&lt;MATCH(H56,EngList,0),"Gap","OK"))</f>
        <v/>
      </c>
      <c r="J56" s="15" t="n"/>
      <c r="K56" s="15" t="n"/>
      <c r="L56" s="15" t="n"/>
      <c r="M56" s="15" t="n"/>
    </row>
    <row r="57">
      <c r="A57" s="15" t="n"/>
      <c r="B57" s="15" t="n"/>
      <c r="C57" s="15" t="n"/>
      <c r="D57" s="15" t="n"/>
      <c r="E57" s="15" t="n"/>
      <c r="F57" s="16" t="str">
        <f>IF(OR(D57="",E57=""),"",IF(AND(D57&gt;=3,E57&gt;=3),"Manage closely",IF(D57&gt;=3,"Keep satisfied",IF(E57&gt;=3,"Keep informed","Monitor"))))</f>
        <v/>
      </c>
      <c r="G57" s="15" t="n"/>
      <c r="H57" s="15" t="n"/>
      <c r="I57" s="16" t="str">
        <f>IF(OR(G57="",H57=""),"",IF(MATCH(G57,EngList,0)&lt;MATCH(H57,EngList,0),"Gap","OK"))</f>
        <v/>
      </c>
      <c r="J57" s="15" t="n"/>
      <c r="K57" s="15" t="n"/>
      <c r="L57" s="15" t="n"/>
      <c r="M57" s="15" t="n"/>
    </row>
    <row r="58">
      <c r="A58" s="15" t="n"/>
      <c r="B58" s="15" t="n"/>
      <c r="C58" s="15" t="n"/>
      <c r="D58" s="15" t="n"/>
      <c r="E58" s="15" t="n"/>
      <c r="F58" s="16" t="str">
        <f>IF(OR(D58="",E58=""),"",IF(AND(D58&gt;=3,E58&gt;=3),"Manage closely",IF(D58&gt;=3,"Keep satisfied",IF(E58&gt;=3,"Keep informed","Monitor"))))</f>
        <v/>
      </c>
      <c r="G58" s="15" t="n"/>
      <c r="H58" s="15" t="n"/>
      <c r="I58" s="16" t="str">
        <f>IF(OR(G58="",H58=""),"",IF(MATCH(G58,EngList,0)&lt;MATCH(H58,EngList,0),"Gap","OK"))</f>
        <v/>
      </c>
      <c r="J58" s="15" t="n"/>
      <c r="K58" s="15" t="n"/>
      <c r="L58" s="15" t="n"/>
      <c r="M58" s="15" t="n"/>
    </row>
    <row r="59">
      <c r="A59" s="15" t="n"/>
      <c r="B59" s="15" t="n"/>
      <c r="C59" s="15" t="n"/>
      <c r="D59" s="15" t="n"/>
      <c r="E59" s="15" t="n"/>
      <c r="F59" s="16" t="str">
        <f>IF(OR(D59="",E59=""),"",IF(AND(D59&gt;=3,E59&gt;=3),"Manage closely",IF(D59&gt;=3,"Keep satisfied",IF(E59&gt;=3,"Keep informed","Monitor"))))</f>
        <v/>
      </c>
      <c r="G59" s="15" t="n"/>
      <c r="H59" s="15" t="n"/>
      <c r="I59" s="16" t="str">
        <f>IF(OR(G59="",H59=""),"",IF(MATCH(G59,EngList,0)&lt;MATCH(H59,EngList,0),"Gap","OK"))</f>
        <v/>
      </c>
      <c r="J59" s="15" t="n"/>
      <c r="K59" s="15" t="n"/>
      <c r="L59" s="15" t="n"/>
      <c r="M59" s="15" t="n"/>
    </row>
    <row r="60">
      <c r="A60" s="15" t="n"/>
      <c r="B60" s="15" t="n"/>
      <c r="C60" s="15" t="n"/>
      <c r="D60" s="15" t="n"/>
      <c r="E60" s="15" t="n"/>
      <c r="F60" s="16" t="str">
        <f>IF(OR(D60="",E60=""),"",IF(AND(D60&gt;=3,E60&gt;=3),"Manage closely",IF(D60&gt;=3,"Keep satisfied",IF(E60&gt;=3,"Keep informed","Monitor"))))</f>
        <v/>
      </c>
      <c r="G60" s="15" t="n"/>
      <c r="H60" s="15" t="n"/>
      <c r="I60" s="16" t="str">
        <f>IF(OR(G60="",H60=""),"",IF(MATCH(G60,EngList,0)&lt;MATCH(H60,EngList,0),"Gap","OK"))</f>
        <v/>
      </c>
      <c r="J60" s="15" t="n"/>
      <c r="K60" s="15" t="n"/>
      <c r="L60" s="15" t="n"/>
      <c r="M60" s="15" t="n"/>
    </row>
    <row r="61">
      <c r="A61" s="15" t="n"/>
      <c r="B61" s="15" t="n"/>
      <c r="C61" s="15" t="n"/>
      <c r="D61" s="15" t="n"/>
      <c r="E61" s="15" t="n"/>
      <c r="F61" s="16" t="str">
        <f>IF(OR(D61="",E61=""),"",IF(AND(D61&gt;=3,E61&gt;=3),"Manage closely",IF(D61&gt;=3,"Keep satisfied",IF(E61&gt;=3,"Keep informed","Monitor"))))</f>
        <v/>
      </c>
      <c r="G61" s="15" t="n"/>
      <c r="H61" s="15" t="n"/>
      <c r="I61" s="16" t="str">
        <f>IF(OR(G61="",H61=""),"",IF(MATCH(G61,EngList,0)&lt;MATCH(H61,EngList,0),"Gap","OK"))</f>
        <v/>
      </c>
      <c r="J61" s="15" t="n"/>
      <c r="K61" s="15" t="n"/>
      <c r="L61" s="15" t="n"/>
      <c r="M61" s="15" t="n"/>
    </row>
    <row r="62">
      <c r="A62" s="15" t="n"/>
      <c r="B62" s="15" t="n"/>
      <c r="C62" s="15" t="n"/>
      <c r="D62" s="15" t="n"/>
      <c r="E62" s="15" t="n"/>
      <c r="F62" s="16" t="str">
        <f>IF(OR(D62="",E62=""),"",IF(AND(D62&gt;=3,E62&gt;=3),"Manage closely",IF(D62&gt;=3,"Keep satisfied",IF(E62&gt;=3,"Keep informed","Monitor"))))</f>
        <v/>
      </c>
      <c r="G62" s="15" t="n"/>
      <c r="H62" s="15" t="n"/>
      <c r="I62" s="16" t="str">
        <f>IF(OR(G62="",H62=""),"",IF(MATCH(G62,EngList,0)&lt;MATCH(H62,EngList,0),"Gap","OK"))</f>
        <v/>
      </c>
      <c r="J62" s="15" t="n"/>
      <c r="K62" s="15" t="n"/>
      <c r="L62" s="15" t="n"/>
      <c r="M62" s="15" t="n"/>
    </row>
    <row r="63">
      <c r="A63" s="15" t="n"/>
      <c r="B63" s="15" t="n"/>
      <c r="C63" s="15" t="n"/>
      <c r="D63" s="15" t="n"/>
      <c r="E63" s="15" t="n"/>
      <c r="F63" s="16" t="str">
        <f>IF(OR(D63="",E63=""),"",IF(AND(D63&gt;=3,E63&gt;=3),"Manage closely",IF(D63&gt;=3,"Keep satisfied",IF(E63&gt;=3,"Keep informed","Monitor"))))</f>
        <v/>
      </c>
      <c r="G63" s="15" t="n"/>
      <c r="H63" s="15" t="n"/>
      <c r="I63" s="16" t="str">
        <f>IF(OR(G63="",H63=""),"",IF(MATCH(G63,EngList,0)&lt;MATCH(H63,EngList,0),"Gap","OK"))</f>
        <v/>
      </c>
      <c r="J63" s="15" t="n"/>
      <c r="K63" s="15" t="n"/>
      <c r="L63" s="15" t="n"/>
      <c r="M63" s="15" t="n"/>
    </row>
    <row r="64">
      <c r="A64" s="15" t="n"/>
      <c r="B64" s="15" t="n"/>
      <c r="C64" s="15" t="n"/>
      <c r="D64" s="15" t="n"/>
      <c r="E64" s="15" t="n"/>
      <c r="F64" s="16" t="str">
        <f>IF(OR(D64="",E64=""),"",IF(AND(D64&gt;=3,E64&gt;=3),"Manage closely",IF(D64&gt;=3,"Keep satisfied",IF(E64&gt;=3,"Keep informed","Monitor"))))</f>
        <v/>
      </c>
      <c r="G64" s="15" t="n"/>
      <c r="H64" s="15" t="n"/>
      <c r="I64" s="16" t="str">
        <f>IF(OR(G64="",H64=""),"",IF(MATCH(G64,EngList,0)&lt;MATCH(H64,EngList,0),"Gap","OK"))</f>
        <v/>
      </c>
      <c r="J64" s="15" t="n"/>
      <c r="K64" s="15" t="n"/>
      <c r="L64" s="15" t="n"/>
      <c r="M64" s="15" t="n"/>
    </row>
  </sheetData>
  <autoFilter ref="A4:M64"/>
  <conditionalFormatting sqref="I5:I64">
    <cfRule type="cellIs" priority="1" operator="equal" dxfId="0">
      <formula>"Gap"</formula>
    </cfRule>
  </conditionalFormatting>
  <dataValidations count="4">
    <dataValidation sqref="D5:D64" showDropDown="0" showInputMessage="0" showErrorMessage="0" allowBlank="1" type="list">
      <formula1>=ScoreList</formula1>
    </dataValidation>
    <dataValidation sqref="E5:E64" showDropDown="0" showInputMessage="0" showErrorMessage="0" allowBlank="1" type="list">
      <formula1>=ScoreList</formula1>
    </dataValidation>
    <dataValidation sqref="G5:G64" showDropDown="0" showInputMessage="0" showErrorMessage="0" allowBlank="1" type="list">
      <formula1>=EngList</formula1>
    </dataValidation>
    <dataValidation sqref="H5:H64" showDropDown="0" showInputMessage="0" showErrorMessage="0" allowBlank="1" type="list">
      <formula1>=EngList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10" t="inlineStr">
        <is>
          <t>Dropdown lists</t>
        </is>
      </c>
      <c r="C1" s="11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17" t="inlineStr">
        <is>
          <t>Status</t>
        </is>
      </c>
      <c r="B4" s="17" t="inlineStr">
        <is>
          <t>Phase</t>
        </is>
      </c>
      <c r="C4" s="17" t="inlineStr">
        <is>
          <t>RAIDType</t>
        </is>
      </c>
      <c r="D4" s="17" t="inlineStr">
        <is>
          <t>Response</t>
        </is>
      </c>
      <c r="E4" s="17" t="inlineStr">
        <is>
          <t>OpenClosed</t>
        </is>
      </c>
      <c r="F4" s="17" t="inlineStr">
        <is>
          <t>RAG</t>
        </is>
      </c>
      <c r="G4" s="17" t="inlineStr">
        <is>
          <t>MoSCoW</t>
        </is>
      </c>
      <c r="H4" s="17" t="inlineStr">
        <is>
          <t>ReqType</t>
        </is>
      </c>
      <c r="I4" s="17" t="inlineStr">
        <is>
          <t>ReqStatus</t>
        </is>
      </c>
      <c r="J4" s="17" t="inlineStr">
        <is>
          <t>Eng</t>
        </is>
      </c>
      <c r="K4" s="17" t="inlineStr">
        <is>
          <t>CRDecision</t>
        </is>
      </c>
      <c r="L4" s="17" t="inlineStr">
        <is>
          <t>SSC</t>
        </is>
      </c>
      <c r="M4" s="17" t="inlineStr">
        <is>
          <t>YesNo</t>
        </is>
      </c>
      <c r="N4" s="17" t="inlineStr">
        <is>
          <t>Approach</t>
        </is>
      </c>
      <c r="O4" s="17" t="inlineStr">
        <is>
          <t>Size</t>
        </is>
      </c>
      <c r="P4" s="17" t="inlineStr">
        <is>
          <t>BudgetCat</t>
        </is>
      </c>
      <c r="Q4" s="17" t="inlineStr">
        <is>
          <t>CostType</t>
        </is>
      </c>
      <c r="R4" s="17" t="inlineStr">
        <is>
          <t>LessonStatus</t>
        </is>
      </c>
      <c r="S4" s="17" t="inlineStr">
        <is>
          <t>Score</t>
        </is>
      </c>
    </row>
    <row r="5">
      <c r="A5" s="18" t="inlineStr">
        <is>
          <t>Not started</t>
        </is>
      </c>
      <c r="B5" s="18" t="inlineStr">
        <is>
          <t>Initiating</t>
        </is>
      </c>
      <c r="C5" s="18" t="inlineStr">
        <is>
          <t>Risk</t>
        </is>
      </c>
      <c r="D5" s="18" t="inlineStr">
        <is>
          <t>Avoid</t>
        </is>
      </c>
      <c r="E5" s="18" t="inlineStr">
        <is>
          <t>Open</t>
        </is>
      </c>
      <c r="F5" s="18" t="inlineStr">
        <is>
          <t>Green</t>
        </is>
      </c>
      <c r="G5" s="18" t="inlineStr">
        <is>
          <t>Must</t>
        </is>
      </c>
      <c r="H5" s="18" t="inlineStr">
        <is>
          <t>Functional</t>
        </is>
      </c>
      <c r="I5" s="18" t="inlineStr">
        <is>
          <t>Proposed</t>
        </is>
      </c>
      <c r="J5" s="18" t="inlineStr">
        <is>
          <t>Unaware</t>
        </is>
      </c>
      <c r="K5" s="18" t="inlineStr">
        <is>
          <t>Pending</t>
        </is>
      </c>
      <c r="L5" s="18" t="inlineStr">
        <is>
          <t>Start</t>
        </is>
      </c>
      <c r="M5" s="18" t="inlineStr">
        <is>
          <t>Yes</t>
        </is>
      </c>
      <c r="N5" s="18" t="inlineStr">
        <is>
          <t>Predictive</t>
        </is>
      </c>
      <c r="O5" s="18" t="inlineStr">
        <is>
          <t>Small</t>
        </is>
      </c>
      <c r="P5" s="18" t="inlineStr">
        <is>
          <t>Labor</t>
        </is>
      </c>
      <c r="Q5" s="18" t="inlineStr">
        <is>
          <t>Labor</t>
        </is>
      </c>
      <c r="R5" s="18" t="inlineStr">
        <is>
          <t>Open</t>
        </is>
      </c>
      <c r="S5" s="18" t="n">
        <v>1</v>
      </c>
    </row>
    <row r="6">
      <c r="A6" s="18" t="inlineStr">
        <is>
          <t>In progress</t>
        </is>
      </c>
      <c r="B6" s="18" t="inlineStr">
        <is>
          <t>Planning</t>
        </is>
      </c>
      <c r="C6" s="18" t="inlineStr">
        <is>
          <t>Assumption</t>
        </is>
      </c>
      <c r="D6" s="18" t="inlineStr">
        <is>
          <t>Mitigate</t>
        </is>
      </c>
      <c r="E6" s="18" t="inlineStr">
        <is>
          <t>Closed</t>
        </is>
      </c>
      <c r="F6" s="18" t="inlineStr">
        <is>
          <t>Amber</t>
        </is>
      </c>
      <c r="G6" s="18" t="inlineStr">
        <is>
          <t>Should</t>
        </is>
      </c>
      <c r="H6" s="18" t="inlineStr">
        <is>
          <t>Non-functional</t>
        </is>
      </c>
      <c r="I6" s="18" t="inlineStr">
        <is>
          <t>Approved</t>
        </is>
      </c>
      <c r="J6" s="18" t="inlineStr">
        <is>
          <t>Resistant</t>
        </is>
      </c>
      <c r="K6" s="18" t="inlineStr">
        <is>
          <t>Approved</t>
        </is>
      </c>
      <c r="L6" s="18" t="inlineStr">
        <is>
          <t>Stop</t>
        </is>
      </c>
      <c r="M6" s="18" t="inlineStr">
        <is>
          <t>No</t>
        </is>
      </c>
      <c r="N6" s="18" t="inlineStr">
        <is>
          <t>Agile</t>
        </is>
      </c>
      <c r="O6" s="18" t="inlineStr">
        <is>
          <t>Medium</t>
        </is>
      </c>
      <c r="P6" s="18" t="inlineStr">
        <is>
          <t>Vendors &amp; contractors</t>
        </is>
      </c>
      <c r="Q6" s="18" t="inlineStr">
        <is>
          <t>Non-labor</t>
        </is>
      </c>
      <c r="R6" s="18" t="inlineStr">
        <is>
          <t>Actioned</t>
        </is>
      </c>
      <c r="S6" s="18" t="n">
        <v>2</v>
      </c>
    </row>
    <row r="7">
      <c r="A7" s="18" t="inlineStr">
        <is>
          <t>Complete</t>
        </is>
      </c>
      <c r="B7" s="18" t="inlineStr">
        <is>
          <t>Executing</t>
        </is>
      </c>
      <c r="C7" s="18" t="inlineStr">
        <is>
          <t>Issue</t>
        </is>
      </c>
      <c r="D7" s="18" t="inlineStr">
        <is>
          <t>Transfer</t>
        </is>
      </c>
      <c r="F7" s="18" t="inlineStr">
        <is>
          <t>Red</t>
        </is>
      </c>
      <c r="G7" s="18" t="inlineStr">
        <is>
          <t>Could</t>
        </is>
      </c>
      <c r="H7" s="18" t="inlineStr">
        <is>
          <t>Constraint</t>
        </is>
      </c>
      <c r="I7" s="18" t="inlineStr">
        <is>
          <t>In progress</t>
        </is>
      </c>
      <c r="J7" s="18" t="inlineStr">
        <is>
          <t>Neutral</t>
        </is>
      </c>
      <c r="K7" s="18" t="inlineStr">
        <is>
          <t>Rejected</t>
        </is>
      </c>
      <c r="L7" s="18" t="inlineStr">
        <is>
          <t>Continue</t>
        </is>
      </c>
      <c r="N7" s="18" t="inlineStr">
        <is>
          <t>Hybrid</t>
        </is>
      </c>
      <c r="O7" s="18" t="inlineStr">
        <is>
          <t>Large</t>
        </is>
      </c>
      <c r="P7" s="18" t="inlineStr">
        <is>
          <t>Software &amp; licenses</t>
        </is>
      </c>
      <c r="Q7" s="18" t="inlineStr">
        <is>
          <t>Reserve</t>
        </is>
      </c>
      <c r="R7" s="18" t="inlineStr">
        <is>
          <t>Closed</t>
        </is>
      </c>
      <c r="S7" s="18" t="n">
        <v>3</v>
      </c>
    </row>
    <row r="8">
      <c r="A8" s="18" t="inlineStr">
        <is>
          <t>Blocked</t>
        </is>
      </c>
      <c r="B8" s="18" t="inlineStr">
        <is>
          <t>Monitoring &amp; Controlling</t>
        </is>
      </c>
      <c r="C8" s="18" t="inlineStr">
        <is>
          <t>Dependency</t>
        </is>
      </c>
      <c r="D8" s="18" t="inlineStr">
        <is>
          <t>Accept</t>
        </is>
      </c>
      <c r="G8" s="18" t="inlineStr">
        <is>
          <t>Won't</t>
        </is>
      </c>
      <c r="H8" s="18" t="inlineStr">
        <is>
          <t>Transition</t>
        </is>
      </c>
      <c r="I8" s="18" t="inlineStr">
        <is>
          <t>Done</t>
        </is>
      </c>
      <c r="J8" s="18" t="inlineStr">
        <is>
          <t>Supportive</t>
        </is>
      </c>
      <c r="K8" s="18" t="inlineStr">
        <is>
          <t>Deferred</t>
        </is>
      </c>
      <c r="P8" s="18" t="inlineStr">
        <is>
          <t>Hardware</t>
        </is>
      </c>
      <c r="S8" s="18" t="n">
        <v>4</v>
      </c>
    </row>
    <row r="9">
      <c r="A9" s="18" t="inlineStr">
        <is>
          <t>On hold</t>
        </is>
      </c>
      <c r="B9" s="18" t="inlineStr">
        <is>
          <t>Closing</t>
        </is>
      </c>
      <c r="D9" s="18" t="inlineStr">
        <is>
          <t>Escalate</t>
        </is>
      </c>
      <c r="I9" s="18" t="inlineStr">
        <is>
          <t>Accepted</t>
        </is>
      </c>
      <c r="J9" s="18" t="inlineStr">
        <is>
          <t>Leading</t>
        </is>
      </c>
      <c r="P9" s="18" t="inlineStr">
        <is>
          <t>Training &amp; change</t>
        </is>
      </c>
      <c r="S9" s="18" t="n">
        <v>5</v>
      </c>
    </row>
    <row r="10">
      <c r="D10" s="18" t="inlineStr">
        <is>
          <t>Exploit</t>
        </is>
      </c>
      <c r="I10" s="18" t="inlineStr">
        <is>
          <t>Deferred</t>
        </is>
      </c>
      <c r="P10" s="18" t="inlineStr">
        <is>
          <t>Travel &amp; other</t>
        </is>
      </c>
    </row>
    <row r="11">
      <c r="D11" s="18" t="inlineStr">
        <is>
          <t>Enhance</t>
        </is>
      </c>
      <c r="I11" s="18" t="inlineStr">
        <is>
          <t>Rejected</t>
        </is>
      </c>
      <c r="P11" s="18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2026-10-28T02:03:10Z</dcterms:created>
  <dcterms:modified xmlns:dcterms="http://purl.org/dc/terms/" xmlns:xsi="http://www.w3.org/2001/XMLSchema-instance" xsi:type="dcterms:W3CDTF">2026-10-28T02:03:10Z</dcterms:modified>
</cp:coreProperties>
</file>