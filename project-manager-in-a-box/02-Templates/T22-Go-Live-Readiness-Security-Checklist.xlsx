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1F3F5"/>
        <bgColor rgb="00F1F3F5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2" fillId="0" borderId="0" pivotButton="0" quotePrefix="0" xfId="0"/>
    <xf numFmtId="0" fontId="10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0" fillId="2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FFFFFF"/>
      </font>
      <fill>
        <patternFill patternType="solid">
          <fgColor rgb="00D03B3B"/>
          <bgColor rgb="00D03B3B"/>
        </patternFill>
      </fill>
    </dxf>
    <dxf>
      <font>
        <name val="Arial"/>
        <b val="1"/>
        <color rgb="00FFFFFF"/>
      </font>
      <fill>
        <patternFill patternType="solid">
          <fgColor rgb="000CA30C"/>
          <bgColor rgb="000CA30C"/>
        </patternFill>
      </fill>
    </dxf>
    <dxf>
      <font>
        <name val="Arial"/>
        <b val="1"/>
        <color rgb="00D03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T22 – Go-Live Readiness &amp; Security Checklist</t>
        </is>
      </c>
    </row>
    <row r="3">
      <c r="B3" s="3" t="inlineStr">
        <is>
          <t>Technical track: confirms that release, security, data, rollback and support criteria are met before production changes.</t>
        </is>
      </c>
    </row>
    <row r="5">
      <c r="B5" s="4" t="inlineStr">
        <is>
          <t>How to use this template</t>
        </is>
      </c>
    </row>
    <row r="6">
      <c r="B6" s="5" t="inlineStr">
        <is>
          <t>1. Start the checklist at least two weeks before the planned go-live.</t>
        </is>
      </c>
    </row>
    <row r="7">
      <c r="B7" s="5" t="inlineStr">
        <is>
          <t>2. Each item needs an owner, a status and evidence (a link or document).</t>
        </is>
      </c>
    </row>
    <row r="8">
      <c r="B8" s="5" t="inlineStr">
        <is>
          <t>3. Any ‘No’ on a critical item blocks go-live unless the sponsor and Security Lead record an exception.</t>
        </is>
      </c>
    </row>
    <row r="9">
      <c r="B9" s="5" t="inlineStr">
        <is>
          <t>4. Attach the completed checklist to the CAB request.</t>
        </is>
      </c>
    </row>
    <row r="11">
      <c r="B11" s="6" t="inlineStr">
        <is>
          <t>Used in: Step 5.1 – Confirm final acceptance and transition to operations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6">
      <c r="B16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6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9" customWidth="1" min="3" max="3"/>
    <col width="9" customWidth="1" min="4" max="4"/>
    <col width="14" customWidth="1" min="5" max="5"/>
    <col width="34" customWidth="1" min="6" max="6"/>
    <col width="18" customWidth="1" min="7" max="7"/>
    <col width="10" customWidth="1" min="8" max="8"/>
  </cols>
  <sheetData>
    <row r="1" ht="26" customHeight="1">
      <c r="A1" s="9" t="inlineStr">
        <is>
          <t>Go-live checklist</t>
        </is>
      </c>
      <c r="C1" s="10" t="inlineStr">
        <is>
          <t>Latest version (click)</t>
        </is>
      </c>
    </row>
    <row r="2">
      <c r="A2" s="6" t="inlineStr">
        <is>
          <t>Template T22. Status: Yes / No / N/A. Any critical item at ‘No’ means NO-GO unless an exception is recorded.</t>
        </is>
      </c>
      <c r="F2" s="11" t="inlineStr">
        <is>
          <t>Decision:</t>
        </is>
      </c>
      <c r="G2" s="11" t="str">
        <f>IF(COUNTIF(H5:H35,"BLOCKS")&gt;0,"NO-GO ("&amp;COUNTIF(H5:H35,"BLOCKS")&amp;" blocking)",IF(COUNTBLANK(D5:D25)&gt;0,"INCOMPLETE","GO"))</f>
        <v>NO-GO (16 blocking)</v>
      </c>
    </row>
    <row r="4" ht="32" customHeight="1">
      <c r="A4" s="12" t="inlineStr">
        <is>
          <t>Area</t>
        </is>
      </c>
      <c r="B4" s="12" t="inlineStr">
        <is>
          <t>Check</t>
        </is>
      </c>
      <c r="C4" s="12" t="inlineStr">
        <is>
          <t>Critical?</t>
        </is>
      </c>
      <c r="D4" s="12" t="inlineStr">
        <is>
          <t>Status</t>
        </is>
      </c>
      <c r="E4" s="12" t="inlineStr">
        <is>
          <t>Owner</t>
        </is>
      </c>
      <c r="F4" s="12" t="inlineStr">
        <is>
          <t>Evidence (link / document)</t>
        </is>
      </c>
      <c r="G4" s="12" t="inlineStr">
        <is>
          <t>Exception approved by</t>
        </is>
      </c>
      <c r="H4" s="13" t="inlineStr">
        <is>
          <t>Blocks go-live? (auto)</t>
        </is>
      </c>
    </row>
    <row r="5">
      <c r="A5" s="14" t="inlineStr">
        <is>
          <t>Release</t>
        </is>
      </c>
      <c r="B5" s="14" t="inlineStr">
        <is>
          <t>Release scope frozen and release notes written</t>
        </is>
      </c>
      <c r="C5" s="14" t="inlineStr">
        <is>
          <t>Yes</t>
        </is>
      </c>
      <c r="D5" s="14" t="n"/>
      <c r="E5" s="14" t="n"/>
      <c r="F5" s="14" t="n"/>
      <c r="G5" s="14" t="n"/>
      <c r="H5" s="15" t="str">
        <f>IF(B5="","",IF(AND(C5="Yes",D5&lt;&gt;"Yes",D5&lt;&gt;"N/A",G5=""),"BLOCKS",""))</f>
        <v>BLOCKS</v>
      </c>
    </row>
    <row r="6">
      <c r="A6" s="14" t="inlineStr">
        <is>
          <t>Release</t>
        </is>
      </c>
      <c r="B6" s="14" t="inlineStr">
        <is>
          <t>All Must requirements accepted (UAT sign-off)</t>
        </is>
      </c>
      <c r="C6" s="14" t="inlineStr">
        <is>
          <t>Yes</t>
        </is>
      </c>
      <c r="D6" s="14" t="n"/>
      <c r="E6" s="14" t="n"/>
      <c r="F6" s="14" t="n"/>
      <c r="G6" s="14" t="n"/>
      <c r="H6" s="15" t="str">
        <f>IF(B6="","",IF(AND(C6="Yes",D6&lt;&gt;"Yes",D6&lt;&gt;"N/A",G6=""),"BLOCKS",""))</f>
        <v>BLOCKS</v>
      </c>
    </row>
    <row r="7">
      <c r="A7" s="14" t="inlineStr">
        <is>
          <t>Release</t>
        </is>
      </c>
      <c r="B7" s="14" t="inlineStr">
        <is>
          <t>No open Severity 1/2 defects (or accepted exceptions)</t>
        </is>
      </c>
      <c r="C7" s="14" t="inlineStr">
        <is>
          <t>Yes</t>
        </is>
      </c>
      <c r="D7" s="14" t="n"/>
      <c r="E7" s="14" t="n"/>
      <c r="F7" s="14" t="n"/>
      <c r="G7" s="14" t="n"/>
      <c r="H7" s="15" t="str">
        <f>IF(B7="","",IF(AND(C7="Yes",D7&lt;&gt;"Yes",D7&lt;&gt;"N/A",G7=""),"BLOCKS",""))</f>
        <v>BLOCKS</v>
      </c>
    </row>
    <row r="8">
      <c r="A8" s="14" t="inlineStr">
        <is>
          <t>Release</t>
        </is>
      </c>
      <c r="B8" s="14" t="inlineStr">
        <is>
          <t>Deployment runbook rehearsed in a production-like environment</t>
        </is>
      </c>
      <c r="C8" s="14" t="inlineStr">
        <is>
          <t>Yes</t>
        </is>
      </c>
      <c r="D8" s="14" t="n"/>
      <c r="E8" s="14" t="n"/>
      <c r="F8" s="14" t="n"/>
      <c r="G8" s="14" t="n"/>
      <c r="H8" s="15" t="str">
        <f>IF(B8="","",IF(AND(C8="Yes",D8&lt;&gt;"Yes",D8&lt;&gt;"N/A",G8=""),"BLOCKS",""))</f>
        <v>BLOCKS</v>
      </c>
    </row>
    <row r="9">
      <c r="A9" s="14" t="inlineStr">
        <is>
          <t>Release</t>
        </is>
      </c>
      <c r="B9" s="14" t="inlineStr">
        <is>
          <t>Rollback plan written and tested</t>
        </is>
      </c>
      <c r="C9" s="14" t="inlineStr">
        <is>
          <t>Yes</t>
        </is>
      </c>
      <c r="D9" s="14" t="n"/>
      <c r="E9" s="14" t="n"/>
      <c r="F9" s="14" t="n"/>
      <c r="G9" s="14" t="n"/>
      <c r="H9" s="15" t="str">
        <f>IF(B9="","",IF(AND(C9="Yes",D9&lt;&gt;"Yes",D9&lt;&gt;"N/A",G9=""),"BLOCKS",""))</f>
        <v>BLOCKS</v>
      </c>
    </row>
    <row r="10">
      <c r="A10" s="14" t="inlineStr">
        <is>
          <t>Release</t>
        </is>
      </c>
      <c r="B10" s="14" t="inlineStr">
        <is>
          <t>Change window approved by CAB</t>
        </is>
      </c>
      <c r="C10" s="14" t="inlineStr">
        <is>
          <t>Yes</t>
        </is>
      </c>
      <c r="D10" s="14" t="n"/>
      <c r="E10" s="14" t="n"/>
      <c r="F10" s="14" t="n"/>
      <c r="G10" s="14" t="n"/>
      <c r="H10" s="15" t="str">
        <f>IF(B10="","",IF(AND(C10="Yes",D10&lt;&gt;"Yes",D10&lt;&gt;"N/A",G10=""),"BLOCKS",""))</f>
        <v>BLOCKS</v>
      </c>
    </row>
    <row r="11">
      <c r="A11" s="14" t="inlineStr">
        <is>
          <t>Security</t>
        </is>
      </c>
      <c r="B11" s="14" t="inlineStr">
        <is>
          <t>Threat model reviewed and risks treated</t>
        </is>
      </c>
      <c r="C11" s="14" t="inlineStr">
        <is>
          <t>Yes</t>
        </is>
      </c>
      <c r="D11" s="14" t="n"/>
      <c r="E11" s="14" t="n"/>
      <c r="F11" s="14" t="n"/>
      <c r="G11" s="14" t="n"/>
      <c r="H11" s="15" t="str">
        <f>IF(B11="","",IF(AND(C11="Yes",D11&lt;&gt;"Yes",D11&lt;&gt;"N/A",G11=""),"BLOCKS",""))</f>
        <v>BLOCKS</v>
      </c>
    </row>
    <row r="12">
      <c r="A12" s="14" t="inlineStr">
        <is>
          <t>Security</t>
        </is>
      </c>
      <c r="B12" s="14" t="inlineStr">
        <is>
          <t>SAST/DAST and dependency scans: no open critical/high findings</t>
        </is>
      </c>
      <c r="C12" s="14" t="inlineStr">
        <is>
          <t>Yes</t>
        </is>
      </c>
      <c r="D12" s="14" t="n"/>
      <c r="E12" s="14" t="n"/>
      <c r="F12" s="14" t="n"/>
      <c r="G12" s="14" t="n"/>
      <c r="H12" s="15" t="str">
        <f>IF(B12="","",IF(AND(C12="Yes",D12&lt;&gt;"Yes",D12&lt;&gt;"N/A",G12=""),"BLOCKS",""))</f>
        <v>BLOCKS</v>
      </c>
    </row>
    <row r="13">
      <c r="A13" s="14" t="inlineStr">
        <is>
          <t>Security</t>
        </is>
      </c>
      <c r="B13" s="14" t="inlineStr">
        <is>
          <t>Penetration test findings fixed or formally accepted</t>
        </is>
      </c>
      <c r="C13" s="14" t="inlineStr">
        <is>
          <t>Yes</t>
        </is>
      </c>
      <c r="D13" s="14" t="n"/>
      <c r="E13" s="14" t="n"/>
      <c r="F13" s="14" t="n"/>
      <c r="G13" s="14" t="n"/>
      <c r="H13" s="15" t="str">
        <f>IF(B13="","",IF(AND(C13="Yes",D13&lt;&gt;"Yes",D13&lt;&gt;"N/A",G13=""),"BLOCKS",""))</f>
        <v>BLOCKS</v>
      </c>
    </row>
    <row r="14">
      <c r="A14" s="14" t="inlineStr">
        <is>
          <t>Security</t>
        </is>
      </c>
      <c r="B14" s="14" t="inlineStr">
        <is>
          <t>MFA / SSO enforced for admin accounts</t>
        </is>
      </c>
      <c r="C14" s="14" t="inlineStr">
        <is>
          <t>Yes</t>
        </is>
      </c>
      <c r="D14" s="14" t="n"/>
      <c r="E14" s="14" t="n"/>
      <c r="F14" s="14" t="n"/>
      <c r="G14" s="14" t="n"/>
      <c r="H14" s="15" t="str">
        <f>IF(B14="","",IF(AND(C14="Yes",D14&lt;&gt;"Yes",D14&lt;&gt;"N/A",G14=""),"BLOCKS",""))</f>
        <v>BLOCKS</v>
      </c>
    </row>
    <row r="15">
      <c r="A15" s="14" t="inlineStr">
        <is>
          <t>Security</t>
        </is>
      </c>
      <c r="B15" s="14" t="inlineStr">
        <is>
          <t>Secrets stored in a vault; no secrets in code</t>
        </is>
      </c>
      <c r="C15" s="14" t="inlineStr">
        <is>
          <t>Yes</t>
        </is>
      </c>
      <c r="D15" s="14" t="n"/>
      <c r="E15" s="14" t="n"/>
      <c r="F15" s="14" t="n"/>
      <c r="G15" s="14" t="n"/>
      <c r="H15" s="15" t="str">
        <f>IF(B15="","",IF(AND(C15="Yes",D15&lt;&gt;"Yes",D15&lt;&gt;"N/A",G15=""),"BLOCKS",""))</f>
        <v>BLOCKS</v>
      </c>
    </row>
    <row r="16">
      <c r="A16" s="14" t="inlineStr">
        <is>
          <t>Security</t>
        </is>
      </c>
      <c r="B16" s="14" t="inlineStr">
        <is>
          <t>Logging and audit trail enabled; logs sent to SIEM</t>
        </is>
      </c>
      <c r="C16" s="14" t="inlineStr">
        <is>
          <t>No</t>
        </is>
      </c>
      <c r="D16" s="14" t="n"/>
      <c r="E16" s="14" t="n"/>
      <c r="F16" s="14" t="n"/>
      <c r="G16" s="14" t="n"/>
      <c r="H16" s="15" t="str">
        <f>IF(B16="","",IF(AND(C16="Yes",D16&lt;&gt;"Yes",D16&lt;&gt;"N/A",G16=""),"BLOCKS",""))</f>
        <v/>
      </c>
    </row>
    <row r="17">
      <c r="A17" s="14" t="inlineStr">
        <is>
          <t>Data</t>
        </is>
      </c>
      <c r="B17" s="14" t="inlineStr">
        <is>
          <t>Data migration rehearsed and reconciled</t>
        </is>
      </c>
      <c r="C17" s="14" t="inlineStr">
        <is>
          <t>Yes</t>
        </is>
      </c>
      <c r="D17" s="14" t="n"/>
      <c r="E17" s="14" t="n"/>
      <c r="F17" s="14" t="n"/>
      <c r="G17" s="14" t="n"/>
      <c r="H17" s="15" t="str">
        <f>IF(B17="","",IF(AND(C17="Yes",D17&lt;&gt;"Yes",D17&lt;&gt;"N/A",G17=""),"BLOCKS",""))</f>
        <v>BLOCKS</v>
      </c>
    </row>
    <row r="18">
      <c r="A18" s="14" t="inlineStr">
        <is>
          <t>Data</t>
        </is>
      </c>
      <c r="B18" s="14" t="inlineStr">
        <is>
          <t>Backups configured and a restore tested</t>
        </is>
      </c>
      <c r="C18" s="14" t="inlineStr">
        <is>
          <t>Yes</t>
        </is>
      </c>
      <c r="D18" s="14" t="n"/>
      <c r="E18" s="14" t="n"/>
      <c r="F18" s="14" t="n"/>
      <c r="G18" s="14" t="n"/>
      <c r="H18" s="15" t="str">
        <f>IF(B18="","",IF(AND(C18="Yes",D18&lt;&gt;"Yes",D18&lt;&gt;"N/A",G18=""),"BLOCKS",""))</f>
        <v>BLOCKS</v>
      </c>
    </row>
    <row r="19">
      <c r="A19" s="14" t="inlineStr">
        <is>
          <t>Data</t>
        </is>
      </c>
      <c r="B19" s="14" t="inlineStr">
        <is>
          <t>Privacy notice / data processing records updated</t>
        </is>
      </c>
      <c r="C19" s="14" t="inlineStr">
        <is>
          <t>No</t>
        </is>
      </c>
      <c r="D19" s="14" t="n"/>
      <c r="E19" s="14" t="n"/>
      <c r="F19" s="14" t="n"/>
      <c r="G19" s="14" t="n"/>
      <c r="H19" s="15" t="str">
        <f>IF(B19="","",IF(AND(C19="Yes",D19&lt;&gt;"Yes",D19&lt;&gt;"N/A",G19=""),"BLOCKS",""))</f>
        <v/>
      </c>
    </row>
    <row r="20">
      <c r="A20" s="14" t="inlineStr">
        <is>
          <t>Operations</t>
        </is>
      </c>
      <c r="B20" s="14" t="inlineStr">
        <is>
          <t>Monitoring and alerting configured</t>
        </is>
      </c>
      <c r="C20" s="14" t="inlineStr">
        <is>
          <t>Yes</t>
        </is>
      </c>
      <c r="D20" s="14" t="n"/>
      <c r="E20" s="14" t="n"/>
      <c r="F20" s="14" t="n"/>
      <c r="G20" s="14" t="n"/>
      <c r="H20" s="15" t="str">
        <f>IF(B20="","",IF(AND(C20="Yes",D20&lt;&gt;"Yes",D20&lt;&gt;"N/A",G20=""),"BLOCKS",""))</f>
        <v>BLOCKS</v>
      </c>
    </row>
    <row r="21">
      <c r="A21" s="14" t="inlineStr">
        <is>
          <t>Operations</t>
        </is>
      </c>
      <c r="B21" s="14" t="inlineStr">
        <is>
          <t>Support model, on-call and escalation agreed</t>
        </is>
      </c>
      <c r="C21" s="14" t="inlineStr">
        <is>
          <t>Yes</t>
        </is>
      </c>
      <c r="D21" s="14" t="n"/>
      <c r="E21" s="14" t="n"/>
      <c r="F21" s="14" t="n"/>
      <c r="G21" s="14" t="n"/>
      <c r="H21" s="15" t="str">
        <f>IF(B21="","",IF(AND(C21="Yes",D21&lt;&gt;"Yes",D21&lt;&gt;"N/A",G21=""),"BLOCKS",""))</f>
        <v>BLOCKS</v>
      </c>
    </row>
    <row r="22">
      <c r="A22" s="14" t="inlineStr">
        <is>
          <t>Operations</t>
        </is>
      </c>
      <c r="B22" s="14" t="inlineStr">
        <is>
          <t>Service desk briefed; knowledge articles published</t>
        </is>
      </c>
      <c r="C22" s="14" t="inlineStr">
        <is>
          <t>No</t>
        </is>
      </c>
      <c r="D22" s="14" t="n"/>
      <c r="E22" s="14" t="n"/>
      <c r="F22" s="14" t="n"/>
      <c r="G22" s="14" t="n"/>
      <c r="H22" s="15" t="str">
        <f>IF(B22="","",IF(AND(C22="Yes",D22&lt;&gt;"Yes",D22&lt;&gt;"N/A",G22=""),"BLOCKS",""))</f>
        <v/>
      </c>
    </row>
    <row r="23">
      <c r="A23" s="14" t="inlineStr">
        <is>
          <t>Operations</t>
        </is>
      </c>
      <c r="B23" s="14" t="inlineStr">
        <is>
          <t>Hypercare plan and exit criteria agreed</t>
        </is>
      </c>
      <c r="C23" s="14" t="inlineStr">
        <is>
          <t>No</t>
        </is>
      </c>
      <c r="D23" s="14" t="n"/>
      <c r="E23" s="14" t="n"/>
      <c r="F23" s="14" t="n"/>
      <c r="G23" s="14" t="n"/>
      <c r="H23" s="15" t="str">
        <f>IF(B23="","",IF(AND(C23="Yes",D23&lt;&gt;"Yes",D23&lt;&gt;"N/A",G23=""),"BLOCKS",""))</f>
        <v/>
      </c>
    </row>
    <row r="24">
      <c r="A24" s="14" t="inlineStr">
        <is>
          <t>People</t>
        </is>
      </c>
      <c r="B24" s="14" t="inlineStr">
        <is>
          <t>End users trained / comms sent</t>
        </is>
      </c>
      <c r="C24" s="14" t="inlineStr">
        <is>
          <t>No</t>
        </is>
      </c>
      <c r="D24" s="14" t="n"/>
      <c r="E24" s="14" t="n"/>
      <c r="F24" s="14" t="n"/>
      <c r="G24" s="14" t="n"/>
      <c r="H24" s="15" t="str">
        <f>IF(B24="","",IF(AND(C24="Yes",D24&lt;&gt;"Yes",D24&lt;&gt;"N/A",G24=""),"BLOCKS",""))</f>
        <v/>
      </c>
    </row>
    <row r="25">
      <c r="A25" s="14" t="inlineStr">
        <is>
          <t>People</t>
        </is>
      </c>
      <c r="B25" s="14" t="inlineStr">
        <is>
          <t>Go/no-go meeting held with sponsor</t>
        </is>
      </c>
      <c r="C25" s="14" t="inlineStr">
        <is>
          <t>Yes</t>
        </is>
      </c>
      <c r="D25" s="14" t="n"/>
      <c r="E25" s="14" t="n"/>
      <c r="F25" s="14" t="n"/>
      <c r="G25" s="14" t="n"/>
      <c r="H25" s="15" t="str">
        <f>IF(B25="","",IF(AND(C25="Yes",D25&lt;&gt;"Yes",D25&lt;&gt;"N/A",G25=""),"BLOCKS",""))</f>
        <v>BLOCKS</v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15" t="str">
        <f>IF(B26="","",IF(AND(C26="Yes",D26&lt;&gt;"Yes",D26&lt;&gt;"N/A",G26=""),"BLOCKS",""))</f>
        <v/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15" t="str">
        <f>IF(B27="","",IF(AND(C27="Yes",D27&lt;&gt;"Yes",D27&lt;&gt;"N/A",G27=""),"BLOCKS",""))</f>
        <v/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5" t="str">
        <f>IF(B28="","",IF(AND(C28="Yes",D28&lt;&gt;"Yes",D28&lt;&gt;"N/A",G28=""),"BLOCKS",""))</f>
        <v/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15" t="str">
        <f>IF(B29="","",IF(AND(C29="Yes",D29&lt;&gt;"Yes",D29&lt;&gt;"N/A",G29=""),"BLOCKS",""))</f>
        <v/>
      </c>
    </row>
    <row r="30">
      <c r="A30" s="14" t="n"/>
      <c r="B30" s="14" t="n"/>
      <c r="C30" s="14" t="n"/>
      <c r="D30" s="14" t="n"/>
      <c r="E30" s="14" t="n"/>
      <c r="F30" s="14" t="n"/>
      <c r="G30" s="14" t="n"/>
      <c r="H30" s="15" t="str">
        <f>IF(B30="","",IF(AND(C30="Yes",D30&lt;&gt;"Yes",D30&lt;&gt;"N/A",G30=""),"BLOCKS",""))</f>
        <v/>
      </c>
    </row>
    <row r="31">
      <c r="A31" s="14" t="n"/>
      <c r="B31" s="14" t="n"/>
      <c r="C31" s="14" t="n"/>
      <c r="D31" s="14" t="n"/>
      <c r="E31" s="14" t="n"/>
      <c r="F31" s="14" t="n"/>
      <c r="G31" s="14" t="n"/>
      <c r="H31" s="15" t="str">
        <f>IF(B31="","",IF(AND(C31="Yes",D31&lt;&gt;"Yes",D31&lt;&gt;"N/A",G31=""),"BLOCKS",""))</f>
        <v/>
      </c>
    </row>
    <row r="32">
      <c r="A32" s="14" t="n"/>
      <c r="B32" s="14" t="n"/>
      <c r="C32" s="14" t="n"/>
      <c r="D32" s="14" t="n"/>
      <c r="E32" s="14" t="n"/>
      <c r="F32" s="14" t="n"/>
      <c r="G32" s="14" t="n"/>
      <c r="H32" s="15" t="str">
        <f>IF(B32="","",IF(AND(C32="Yes",D32&lt;&gt;"Yes",D32&lt;&gt;"N/A",G32=""),"BLOCKS",""))</f>
        <v/>
      </c>
    </row>
    <row r="33">
      <c r="A33" s="14" t="n"/>
      <c r="B33" s="14" t="n"/>
      <c r="C33" s="14" t="n"/>
      <c r="D33" s="14" t="n"/>
      <c r="E33" s="14" t="n"/>
      <c r="F33" s="14" t="n"/>
      <c r="G33" s="14" t="n"/>
      <c r="H33" s="15" t="str">
        <f>IF(B33="","",IF(AND(C33="Yes",D33&lt;&gt;"Yes",D33&lt;&gt;"N/A",G33=""),"BLOCKS",""))</f>
        <v/>
      </c>
    </row>
    <row r="34">
      <c r="A34" s="14" t="n"/>
      <c r="B34" s="14" t="n"/>
      <c r="C34" s="14" t="n"/>
      <c r="D34" s="14" t="n"/>
      <c r="E34" s="14" t="n"/>
      <c r="F34" s="14" t="n"/>
      <c r="G34" s="14" t="n"/>
      <c r="H34" s="15" t="str">
        <f>IF(B34="","",IF(AND(C34="Yes",D34&lt;&gt;"Yes",D34&lt;&gt;"N/A",G34=""),"BLOCKS",""))</f>
        <v/>
      </c>
    </row>
    <row r="35">
      <c r="A35" s="14" t="n"/>
      <c r="B35" s="14" t="n"/>
      <c r="C35" s="14" t="n"/>
      <c r="D35" s="14" t="n"/>
      <c r="E35" s="14" t="n"/>
      <c r="F35" s="14" t="n"/>
      <c r="G35" s="14" t="n"/>
      <c r="H35" s="15" t="str">
        <f>IF(B35="","",IF(AND(C35="Yes",D35&lt;&gt;"Yes",D35&lt;&gt;"N/A",G35=""),"BLOCKS",""))</f>
        <v/>
      </c>
    </row>
  </sheetData>
  <conditionalFormatting sqref="G2">
    <cfRule type="expression" priority="1" dxfId="0">
      <formula>LEFT(G2,2)="NO"</formula>
    </cfRule>
    <cfRule type="expression" priority="2" dxfId="1">
      <formula>G2="GO"</formula>
    </cfRule>
  </conditionalFormatting>
  <conditionalFormatting sqref="H5:H35">
    <cfRule type="cellIs" priority="3" operator="equal" dxfId="2">
      <formula>"BLOCKS"</formula>
    </cfRule>
  </conditionalFormatting>
  <dataValidations count="2">
    <dataValidation sqref="D5:D35" showDropDown="0" showInputMessage="0" showErrorMessage="0" allowBlank="1" type="list">
      <formula1>"Yes,No,N/A"</formula1>
    </dataValidation>
    <dataValidation sqref="C5:C35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9" t="inlineStr">
        <is>
          <t>Dropdown lists</t>
        </is>
      </c>
      <c r="C1" s="10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6" t="inlineStr">
        <is>
          <t>Status</t>
        </is>
      </c>
      <c r="B4" s="16" t="inlineStr">
        <is>
          <t>Phase</t>
        </is>
      </c>
      <c r="C4" s="16" t="inlineStr">
        <is>
          <t>RAIDType</t>
        </is>
      </c>
      <c r="D4" s="16" t="inlineStr">
        <is>
          <t>Response</t>
        </is>
      </c>
      <c r="E4" s="16" t="inlineStr">
        <is>
          <t>OpenClosed</t>
        </is>
      </c>
      <c r="F4" s="16" t="inlineStr">
        <is>
          <t>RAG</t>
        </is>
      </c>
      <c r="G4" s="16" t="inlineStr">
        <is>
          <t>MoSCoW</t>
        </is>
      </c>
      <c r="H4" s="16" t="inlineStr">
        <is>
          <t>ReqType</t>
        </is>
      </c>
      <c r="I4" s="16" t="inlineStr">
        <is>
          <t>ReqStatus</t>
        </is>
      </c>
      <c r="J4" s="16" t="inlineStr">
        <is>
          <t>Eng</t>
        </is>
      </c>
      <c r="K4" s="16" t="inlineStr">
        <is>
          <t>CRDecision</t>
        </is>
      </c>
      <c r="L4" s="16" t="inlineStr">
        <is>
          <t>SSC</t>
        </is>
      </c>
      <c r="M4" s="16" t="inlineStr">
        <is>
          <t>YesNo</t>
        </is>
      </c>
      <c r="N4" s="16" t="inlineStr">
        <is>
          <t>Approach</t>
        </is>
      </c>
      <c r="O4" s="16" t="inlineStr">
        <is>
          <t>Size</t>
        </is>
      </c>
      <c r="P4" s="16" t="inlineStr">
        <is>
          <t>BudgetCat</t>
        </is>
      </c>
      <c r="Q4" s="16" t="inlineStr">
        <is>
          <t>CostType</t>
        </is>
      </c>
      <c r="R4" s="16" t="inlineStr">
        <is>
          <t>LessonStatus</t>
        </is>
      </c>
      <c r="S4" s="16" t="inlineStr">
        <is>
          <t>Score</t>
        </is>
      </c>
    </row>
    <row r="5">
      <c r="A5" s="17" t="inlineStr">
        <is>
          <t>Not started</t>
        </is>
      </c>
      <c r="B5" s="17" t="inlineStr">
        <is>
          <t>Initiating</t>
        </is>
      </c>
      <c r="C5" s="17" t="inlineStr">
        <is>
          <t>Risk</t>
        </is>
      </c>
      <c r="D5" s="17" t="inlineStr">
        <is>
          <t>Avoid</t>
        </is>
      </c>
      <c r="E5" s="17" t="inlineStr">
        <is>
          <t>Open</t>
        </is>
      </c>
      <c r="F5" s="17" t="inlineStr">
        <is>
          <t>Green</t>
        </is>
      </c>
      <c r="G5" s="17" t="inlineStr">
        <is>
          <t>Must</t>
        </is>
      </c>
      <c r="H5" s="17" t="inlineStr">
        <is>
          <t>Functional</t>
        </is>
      </c>
      <c r="I5" s="17" t="inlineStr">
        <is>
          <t>Proposed</t>
        </is>
      </c>
      <c r="J5" s="17" t="inlineStr">
        <is>
          <t>Unaware</t>
        </is>
      </c>
      <c r="K5" s="17" t="inlineStr">
        <is>
          <t>Pending</t>
        </is>
      </c>
      <c r="L5" s="17" t="inlineStr">
        <is>
          <t>Start</t>
        </is>
      </c>
      <c r="M5" s="17" t="inlineStr">
        <is>
          <t>Yes</t>
        </is>
      </c>
      <c r="N5" s="17" t="inlineStr">
        <is>
          <t>Predictive</t>
        </is>
      </c>
      <c r="O5" s="17" t="inlineStr">
        <is>
          <t>Small</t>
        </is>
      </c>
      <c r="P5" s="17" t="inlineStr">
        <is>
          <t>Labor</t>
        </is>
      </c>
      <c r="Q5" s="17" t="inlineStr">
        <is>
          <t>Labor</t>
        </is>
      </c>
      <c r="R5" s="17" t="inlineStr">
        <is>
          <t>Open</t>
        </is>
      </c>
      <c r="S5" s="17" t="n">
        <v>1</v>
      </c>
    </row>
    <row r="6">
      <c r="A6" s="17" t="inlineStr">
        <is>
          <t>In progress</t>
        </is>
      </c>
      <c r="B6" s="17" t="inlineStr">
        <is>
          <t>Planning</t>
        </is>
      </c>
      <c r="C6" s="17" t="inlineStr">
        <is>
          <t>Assumption</t>
        </is>
      </c>
      <c r="D6" s="17" t="inlineStr">
        <is>
          <t>Mitigate</t>
        </is>
      </c>
      <c r="E6" s="17" t="inlineStr">
        <is>
          <t>Closed</t>
        </is>
      </c>
      <c r="F6" s="17" t="inlineStr">
        <is>
          <t>Amber</t>
        </is>
      </c>
      <c r="G6" s="17" t="inlineStr">
        <is>
          <t>Should</t>
        </is>
      </c>
      <c r="H6" s="17" t="inlineStr">
        <is>
          <t>Non-functional</t>
        </is>
      </c>
      <c r="I6" s="17" t="inlineStr">
        <is>
          <t>Approved</t>
        </is>
      </c>
      <c r="J6" s="17" t="inlineStr">
        <is>
          <t>Resistant</t>
        </is>
      </c>
      <c r="K6" s="17" t="inlineStr">
        <is>
          <t>Approved</t>
        </is>
      </c>
      <c r="L6" s="17" t="inlineStr">
        <is>
          <t>Stop</t>
        </is>
      </c>
      <c r="M6" s="17" t="inlineStr">
        <is>
          <t>No</t>
        </is>
      </c>
      <c r="N6" s="17" t="inlineStr">
        <is>
          <t>Agile</t>
        </is>
      </c>
      <c r="O6" s="17" t="inlineStr">
        <is>
          <t>Medium</t>
        </is>
      </c>
      <c r="P6" s="17" t="inlineStr">
        <is>
          <t>Vendors &amp; contractors</t>
        </is>
      </c>
      <c r="Q6" s="17" t="inlineStr">
        <is>
          <t>Non-labor</t>
        </is>
      </c>
      <c r="R6" s="17" t="inlineStr">
        <is>
          <t>Actioned</t>
        </is>
      </c>
      <c r="S6" s="17" t="n">
        <v>2</v>
      </c>
    </row>
    <row r="7">
      <c r="A7" s="17" t="inlineStr">
        <is>
          <t>Complete</t>
        </is>
      </c>
      <c r="B7" s="17" t="inlineStr">
        <is>
          <t>Executing</t>
        </is>
      </c>
      <c r="C7" s="17" t="inlineStr">
        <is>
          <t>Issue</t>
        </is>
      </c>
      <c r="D7" s="17" t="inlineStr">
        <is>
          <t>Transfer</t>
        </is>
      </c>
      <c r="F7" s="17" t="inlineStr">
        <is>
          <t>Red</t>
        </is>
      </c>
      <c r="G7" s="17" t="inlineStr">
        <is>
          <t>Could</t>
        </is>
      </c>
      <c r="H7" s="17" t="inlineStr">
        <is>
          <t>Constraint</t>
        </is>
      </c>
      <c r="I7" s="17" t="inlineStr">
        <is>
          <t>In progress</t>
        </is>
      </c>
      <c r="J7" s="17" t="inlineStr">
        <is>
          <t>Neutral</t>
        </is>
      </c>
      <c r="K7" s="17" t="inlineStr">
        <is>
          <t>Rejected</t>
        </is>
      </c>
      <c r="L7" s="17" t="inlineStr">
        <is>
          <t>Continue</t>
        </is>
      </c>
      <c r="N7" s="17" t="inlineStr">
        <is>
          <t>Hybrid</t>
        </is>
      </c>
      <c r="O7" s="17" t="inlineStr">
        <is>
          <t>Large</t>
        </is>
      </c>
      <c r="P7" s="17" t="inlineStr">
        <is>
          <t>Software &amp; licenses</t>
        </is>
      </c>
      <c r="Q7" s="17" t="inlineStr">
        <is>
          <t>Reserve</t>
        </is>
      </c>
      <c r="R7" s="17" t="inlineStr">
        <is>
          <t>Closed</t>
        </is>
      </c>
      <c r="S7" s="17" t="n">
        <v>3</v>
      </c>
    </row>
    <row r="8">
      <c r="A8" s="17" t="inlineStr">
        <is>
          <t>Blocked</t>
        </is>
      </c>
      <c r="B8" s="17" t="inlineStr">
        <is>
          <t>Monitoring &amp; Controlling</t>
        </is>
      </c>
      <c r="C8" s="17" t="inlineStr">
        <is>
          <t>Dependency</t>
        </is>
      </c>
      <c r="D8" s="17" t="inlineStr">
        <is>
          <t>Accept</t>
        </is>
      </c>
      <c r="G8" s="17" t="inlineStr">
        <is>
          <t>Won't</t>
        </is>
      </c>
      <c r="H8" s="17" t="inlineStr">
        <is>
          <t>Transition</t>
        </is>
      </c>
      <c r="I8" s="17" t="inlineStr">
        <is>
          <t>Done</t>
        </is>
      </c>
      <c r="J8" s="17" t="inlineStr">
        <is>
          <t>Supportive</t>
        </is>
      </c>
      <c r="K8" s="17" t="inlineStr">
        <is>
          <t>Deferred</t>
        </is>
      </c>
      <c r="P8" s="17" t="inlineStr">
        <is>
          <t>Hardware</t>
        </is>
      </c>
      <c r="S8" s="17" t="n">
        <v>4</v>
      </c>
    </row>
    <row r="9">
      <c r="A9" s="17" t="inlineStr">
        <is>
          <t>On hold</t>
        </is>
      </c>
      <c r="B9" s="17" t="inlineStr">
        <is>
          <t>Closing</t>
        </is>
      </c>
      <c r="D9" s="17" t="inlineStr">
        <is>
          <t>Escalate</t>
        </is>
      </c>
      <c r="I9" s="17" t="inlineStr">
        <is>
          <t>Accepted</t>
        </is>
      </c>
      <c r="J9" s="17" t="inlineStr">
        <is>
          <t>Leading</t>
        </is>
      </c>
      <c r="P9" s="17" t="inlineStr">
        <is>
          <t>Training &amp; change</t>
        </is>
      </c>
      <c r="S9" s="17" t="n">
        <v>5</v>
      </c>
    </row>
    <row r="10">
      <c r="D10" s="17" t="inlineStr">
        <is>
          <t>Exploit</t>
        </is>
      </c>
      <c r="I10" s="17" t="inlineStr">
        <is>
          <t>Deferred</t>
        </is>
      </c>
      <c r="P10" s="17" t="inlineStr">
        <is>
          <t>Travel &amp; other</t>
        </is>
      </c>
    </row>
    <row r="11">
      <c r="D11" s="17" t="inlineStr">
        <is>
          <t>Enhance</t>
        </is>
      </c>
      <c r="I11" s="17" t="inlineStr">
        <is>
          <t>Rejected</t>
        </is>
      </c>
      <c r="P11" s="17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