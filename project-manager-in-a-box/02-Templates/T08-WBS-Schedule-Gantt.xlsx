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Lists" sheetId="4" state="visible" r:id="rId4"/>
  </sheets>
  <definedNames>
    <definedName name="ProjectName">Setup!$B$4</definedName>
    <definedName name="OrgName">Setup!$B$5</definedName>
    <definedName name="Sponsor">Setup!$B$6</definedName>
    <definedName name="PMName">Setup!$B$7</definedName>
    <definedName name="ProductOwner">Setup!$B$8</definedName>
    <definedName name="ProjectStart">Setup!$B$9</definedName>
    <definedName name="ProjectFinish">Setup!$B$10</definedName>
    <definedName name="ApprovedBudget">Setup!$B$11</definedName>
    <definedName name="StatusDate">Setup!$B$12</definedName>
    <definedName name="Approach">Setup!$B$13</definedName>
    <definedName name="ProjectSize">Setup!$B$14</definedName>
    <definedName name="RAGOverride">Setup!$B$15</definedName>
    <definedName name="ProjectSummary">Setup!$B$16</definedName>
    <definedName name="SchedAmber">Setup!$B$19</definedName>
    <definedName name="SchedRed">Setup!$B$20</definedName>
    <definedName name="BudAmber">Setup!$B$21</definedName>
    <definedName name="BudRed">Setup!$B$22</definedName>
    <definedName name="RiskAmber">Setup!$B$23</definedName>
    <definedName name="RiskRed">Setup!$B$24</definedName>
    <definedName name="RedScore">Setup!$B$25</definedName>
    <definedName name="AmberScore">Setup!$B$26</definedName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2" hidden="1">'Schedule'!$A$4:$S$154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$#,##0"/>
    <numFmt numFmtId="166" formatCode="mm/dd/yy"/>
    <numFmt numFmtId="167" formatCode="+0;-0;0"/>
    <numFmt numFmtId="168" formatCode="mm/dd"/>
  </numFmts>
  <fonts count="16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sz val="10"/>
    </font>
    <font>
      <name val="Arial"/>
      <sz val="9"/>
    </font>
    <font>
      <name val="Arial"/>
      <color rgb="000000FF"/>
      <sz val="10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color rgb="00FFFFFF"/>
      <sz val="7"/>
    </font>
  </fonts>
  <fills count="6">
    <fill>
      <patternFill/>
    </fill>
    <fill>
      <patternFill patternType="gray125"/>
    </fill>
    <fill>
      <patternFill patternType="solid">
        <fgColor rgb="00FFF4C2"/>
        <bgColor rgb="00FFF4C2"/>
      </patternFill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3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  <border>
      <left style="hair">
        <color rgb="00E5E7EB"/>
      </lef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pivotButton="0" quotePrefix="0" xfId="0"/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0" fontId="11" fillId="0" borderId="0" pivotButton="0" quotePrefix="0" xfId="0"/>
    <xf numFmtId="9" fontId="12" fillId="2" borderId="1" pivotButton="0" quotePrefix="0" xfId="0"/>
    <xf numFmtId="1" fontId="12" fillId="2" borderId="1" pivotButton="0" quotePrefix="0" xfId="0"/>
    <xf numFmtId="0" fontId="13" fillId="3" borderId="0" pivotButton="0" quotePrefix="0" xfId="0"/>
    <xf numFmtId="0" fontId="0" fillId="0" borderId="1" pivotButton="0" quotePrefix="0" xfId="0"/>
    <xf numFmtId="0" fontId="14" fillId="0" borderId="0" applyAlignment="1" pivotButton="0" quotePrefix="0" xfId="0">
      <alignment/>
    </xf>
    <xf numFmtId="0" fontId="14" fillId="0" borderId="0" pivotButton="0" quotePrefix="0" xfId="0"/>
    <xf numFmtId="0" fontId="13" fillId="3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168" fontId="15" fillId="4" borderId="0" applyAlignment="1" pivotButton="0" quotePrefix="0" xfId="0">
      <alignment horizontal="center" textRotation="90"/>
    </xf>
    <xf numFmtId="49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166" fontId="11" fillId="0" borderId="1" applyAlignment="1" pivotButton="0" quotePrefix="0" xfId="0">
      <alignment vertical="top" wrapText="1"/>
    </xf>
    <xf numFmtId="166" fontId="11" fillId="5" borderId="1" applyAlignment="1" pivotButton="0" quotePrefix="0" xfId="0">
      <alignment vertical="top" wrapText="1"/>
    </xf>
    <xf numFmtId="9" fontId="11" fillId="0" borderId="1" applyAlignment="1" pivotButton="0" quotePrefix="0" xfId="0">
      <alignment vertical="top" wrapText="1"/>
    </xf>
    <xf numFmtId="167" fontId="11" fillId="5" borderId="1" applyAlignment="1" pivotButton="0" quotePrefix="0" xfId="0">
      <alignment vertical="top" wrapText="1"/>
    </xf>
    <xf numFmtId="9" fontId="11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2" fontId="11" fillId="5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dxfs count="7">
    <dxf>
      <font>
        <name val="Arial"/>
        <b val="1"/>
        <color rgb="000CA30C"/>
      </font>
    </dxf>
    <dxf>
      <font>
        <name val="Arial"/>
        <b val="1"/>
        <color rgb="00D03B3B"/>
      </font>
    </dxf>
    <dxf>
      <font>
        <name val="Arial"/>
        <b val="1"/>
      </font>
    </dxf>
    <dxf>
      <fill>
        <patternFill patternType="solid">
          <fgColor rgb="00EB6834"/>
          <bgColor rgb="00EB6834"/>
        </patternFill>
      </fill>
    </dxf>
    <dxf>
      <fill>
        <patternFill patternType="solid">
          <fgColor rgb="009EC5F4"/>
          <bgColor rgb="009EC5F4"/>
        </patternFill>
      </fill>
    </dxf>
    <dxf>
      <fill>
        <patternFill patternType="solid">
          <fgColor rgb="002A78D6"/>
          <bgColor rgb="002A78D6"/>
        </patternFill>
      </fill>
    </dxf>
    <dxf>
      <fill>
        <patternFill patternType="solid">
          <fgColor rgb="00FDE7E7"/>
          <bgColor rgb="00FDE7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T08 – WBS &amp; Schedule (Gantt)</t>
        </is>
      </c>
    </row>
    <row r="3">
      <c r="B3" s="3" t="inlineStr">
        <is>
          <t>Breaks the scope into work packages and schedules them with owners, dates, dependencies and progress.</t>
        </is>
      </c>
    </row>
    <row r="5">
      <c r="B5" s="4" t="inlineStr">
        <is>
          <t>How to use this template</t>
        </is>
      </c>
    </row>
    <row r="6">
      <c r="B6" s="5" t="inlineStr">
        <is>
          <t>1. Decompose the deliverables (not activities) until each work package fits in 1–10 working days.</t>
        </is>
      </c>
    </row>
    <row r="7">
      <c r="B7" s="5" t="inlineStr">
        <is>
          <t>2. Enter the start date and duration. The finish date and the Gantt bars are calculated for you.</t>
        </is>
      </c>
    </row>
    <row r="8">
      <c r="B8" s="5" t="inlineStr">
        <is>
          <t>3. Use the Predecessor column to record dependencies and to find the critical path.</t>
        </is>
      </c>
    </row>
    <row r="9">
      <c r="B9" s="5" t="inlineStr">
        <is>
          <t>4. Mark milestones with a duration of 0.</t>
        </is>
      </c>
    </row>
    <row r="10">
      <c r="B10" s="5" t="inlineStr">
        <is>
          <t>5. Once the plan is approved, copy the dates into the Baseline columns and leave them unchanged.</t>
        </is>
      </c>
    </row>
    <row r="12">
      <c r="B12" s="6" t="inlineStr">
        <is>
          <t>Used in: Step 2.2 – Define scope and build the work breakdown structure (WBS); Step 2.3 – Build the schedule and milestones; Step 3.2 – Direct the work and run the delivery cadence; Step 4.1 – Track performance: schedule, cost, scope and quality</t>
        </is>
      </c>
    </row>
    <row r="13">
      <c r="B13" s="7" t="inlineStr">
        <is>
          <t>Legend: navy column headers = you fill in; grey headers and cells = calculated automatically; the grey italic row above the headers shows the expected format.</t>
        </is>
      </c>
    </row>
    <row r="15">
      <c r="B15" s="8" t="inlineStr">
        <is>
          <t>© 2026 James Pearson. “Project Manager in a Box” by James Pearson, licensed under CC BY-NC-SA 4.0 (https://creativecommons.org/licenses/by-nc-sa/4.0/).</t>
        </is>
      </c>
    </row>
    <row r="16">
      <c r="B16" s="9" t="inlineStr">
        <is>
          <t>This template is also built into the Project Workbook (tab: Schedule).</t>
        </is>
      </c>
    </row>
    <row r="18">
      <c r="B18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8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0" t="inlineStr">
        <is>
          <t>Project setup</t>
        </is>
      </c>
      <c r="B1" s="11" t="inlineStr">
        <is>
          <t>Latest version (click)</t>
        </is>
      </c>
    </row>
    <row r="2">
      <c r="A2" s="6" t="inlineStr">
        <is>
          <t>Fill in the yellow cells. Everything else in the workbook reads from here. Takes about 5 minutes.</t>
        </is>
      </c>
    </row>
    <row r="4">
      <c r="A4" s="12" t="inlineStr">
        <is>
          <t>Project name</t>
        </is>
      </c>
      <c r="B4" s="13" t="n"/>
    </row>
    <row r="5">
      <c r="A5" s="12" t="inlineStr">
        <is>
          <t>Organization</t>
        </is>
      </c>
      <c r="B5" s="13" t="n"/>
    </row>
    <row r="6">
      <c r="A6" s="12" t="inlineStr">
        <is>
          <t>Sponsor</t>
        </is>
      </c>
      <c r="B6" s="13" t="n"/>
    </row>
    <row r="7">
      <c r="A7" s="12" t="inlineStr">
        <is>
          <t>Project manager</t>
        </is>
      </c>
      <c r="B7" s="13" t="n"/>
    </row>
    <row r="8">
      <c r="A8" s="12" t="inlineStr">
        <is>
          <t>Product owner / business owner</t>
        </is>
      </c>
      <c r="B8" s="13" t="n"/>
    </row>
    <row r="9">
      <c r="A9" s="12" t="inlineStr">
        <is>
          <t>Project start date</t>
        </is>
      </c>
      <c r="B9" s="14" t="n"/>
    </row>
    <row r="10">
      <c r="A10" s="12" t="inlineStr">
        <is>
          <t>Target finish date</t>
        </is>
      </c>
      <c r="B10" s="14" t="n"/>
    </row>
    <row r="11">
      <c r="A11" s="12" t="inlineStr">
        <is>
          <t>Approved budget ($)</t>
        </is>
      </c>
      <c r="B11" s="15" t="n"/>
    </row>
    <row r="12">
      <c r="A12" s="12" t="inlineStr">
        <is>
          <t>Status date (leave =TODAY() or fix a date)</t>
        </is>
      </c>
      <c r="B12" s="14">
        <f>TODAY()</f>
        <v>46322.0</v>
      </c>
    </row>
    <row r="13">
      <c r="A13" s="12" t="inlineStr">
        <is>
          <t>Delivery approach</t>
        </is>
      </c>
      <c r="B13" s="13" t="n"/>
    </row>
    <row r="14">
      <c r="A14" s="12" t="inlineStr">
        <is>
          <t>Project size (tailoring)</t>
        </is>
      </c>
      <c r="B14" s="13" t="n"/>
    </row>
    <row r="15">
      <c r="A15" s="12" t="inlineStr">
        <is>
          <t>Overall status override (optional)</t>
        </is>
      </c>
      <c r="B15" s="13" t="n"/>
    </row>
    <row r="16" ht="60" customHeight="1">
      <c r="A16" s="12" t="inlineStr">
        <is>
          <t>Project summary</t>
        </is>
      </c>
      <c r="B16" s="13" t="n"/>
    </row>
    <row r="18">
      <c r="A18" s="4" t="inlineStr">
        <is>
          <t>Health thresholds (used by the Dashboard)</t>
        </is>
      </c>
    </row>
    <row r="19">
      <c r="A19" s="16" t="inlineStr">
        <is>
          <t>Schedule: Amber if behind plan by more than (pts)</t>
        </is>
      </c>
      <c r="B19" s="17" t="n">
        <v>0.05</v>
      </c>
    </row>
    <row r="20">
      <c r="A20" s="16" t="inlineStr">
        <is>
          <t>Schedule: Red if behind plan by more than (pts)</t>
        </is>
      </c>
      <c r="B20" s="17" t="n">
        <v>0.15</v>
      </c>
    </row>
    <row r="21">
      <c r="A21" s="16" t="inlineStr">
        <is>
          <t>Budget: Amber if forecast exceeds approved by more than</t>
        </is>
      </c>
      <c r="B21" s="17" t="n">
        <v>0</v>
      </c>
    </row>
    <row r="22">
      <c r="A22" s="16" t="inlineStr">
        <is>
          <t>Budget: Red if forecast exceeds approved by more than</t>
        </is>
      </c>
      <c r="B22" s="17" t="n">
        <v>0.1</v>
      </c>
    </row>
    <row r="23">
      <c r="A23" s="16" t="inlineStr">
        <is>
          <t>Risk: Amber at this many open Red risks/issues</t>
        </is>
      </c>
      <c r="B23" s="18" t="n">
        <v>1</v>
      </c>
    </row>
    <row r="24">
      <c r="A24" s="16" t="inlineStr">
        <is>
          <t>Risk: Red at this many open Red risks/issues</t>
        </is>
      </c>
      <c r="B24" s="18" t="n">
        <v>3</v>
      </c>
    </row>
    <row r="25">
      <c r="A25" s="16" t="inlineStr">
        <is>
          <t>RAID score at or above which an item is Red</t>
        </is>
      </c>
      <c r="B25" s="18" t="n">
        <v>12</v>
      </c>
    </row>
    <row r="26">
      <c r="A26" s="16" t="inlineStr">
        <is>
          <t>RAID score at or above which an item is Amber</t>
        </is>
      </c>
      <c r="B26" s="18" t="n">
        <v>6</v>
      </c>
    </row>
    <row r="28">
      <c r="A28" s="4" t="inlineStr">
        <is>
          <t>Goals &amp; success criteria (Step 1.2)</t>
        </is>
      </c>
    </row>
    <row r="29">
      <c r="A29" s="19" t="inlineStr">
        <is>
          <t>Goal / measure</t>
        </is>
      </c>
      <c r="B29" s="19" t="inlineStr">
        <is>
          <t>Baseline</t>
        </is>
      </c>
      <c r="C29" s="19" t="inlineStr">
        <is>
          <t>Target</t>
        </is>
      </c>
      <c r="D29" s="19" t="inlineStr">
        <is>
          <t>Data source</t>
        </is>
      </c>
      <c r="E29" s="19" t="inlineStr">
        <is>
          <t>Owner</t>
        </is>
      </c>
      <c r="F29" s="19" t="inlineStr">
        <is>
          <t>Current</t>
        </is>
      </c>
    </row>
    <row r="30">
      <c r="A30" s="20" t="n"/>
      <c r="B30" s="20" t="n"/>
      <c r="C30" s="20" t="n"/>
      <c r="D30" s="20" t="n"/>
      <c r="E30" s="20" t="n"/>
      <c r="F30" s="20" t="n"/>
    </row>
    <row r="31">
      <c r="A31" s="20" t="n"/>
      <c r="B31" s="20" t="n"/>
      <c r="C31" s="20" t="n"/>
      <c r="D31" s="20" t="n"/>
      <c r="E31" s="20" t="n"/>
      <c r="F31" s="20" t="n"/>
    </row>
    <row r="32">
      <c r="A32" s="20" t="n"/>
      <c r="B32" s="20" t="n"/>
      <c r="C32" s="20" t="n"/>
      <c r="D32" s="20" t="n"/>
      <c r="E32" s="20" t="n"/>
      <c r="F32" s="20" t="n"/>
    </row>
    <row r="33">
      <c r="A33" s="20" t="n"/>
      <c r="B33" s="20" t="n"/>
      <c r="C33" s="20" t="n"/>
      <c r="D33" s="20" t="n"/>
      <c r="E33" s="20" t="n"/>
      <c r="F33" s="20" t="n"/>
    </row>
    <row r="34">
      <c r="A34" s="20" t="n"/>
      <c r="B34" s="20" t="n"/>
      <c r="C34" s="20" t="n"/>
      <c r="D34" s="20" t="n"/>
      <c r="E34" s="20" t="n"/>
      <c r="F34" s="20" t="n"/>
    </row>
    <row r="35">
      <c r="A35" s="20" t="n"/>
      <c r="B35" s="20" t="n"/>
      <c r="C35" s="20" t="n"/>
      <c r="D35" s="20" t="n"/>
      <c r="E35" s="20" t="n"/>
      <c r="F35" s="20" t="n"/>
    </row>
    <row r="37">
      <c r="A37" s="4" t="inlineStr">
        <is>
          <t>Core team (Step 3.1)</t>
        </is>
      </c>
    </row>
    <row r="38">
      <c r="A38" s="19" t="inlineStr">
        <is>
          <t>Name</t>
        </is>
      </c>
      <c r="B38" s="19" t="inlineStr">
        <is>
          <t>Project role</t>
        </is>
      </c>
      <c r="C38" s="19" t="inlineStr">
        <is>
          <t>Department / company</t>
        </is>
      </c>
      <c r="D38" s="19" t="inlineStr">
        <is>
          <t>Allocation</t>
        </is>
      </c>
      <c r="E38" s="19" t="inlineStr">
        <is>
          <t>Email / contact</t>
        </is>
      </c>
    </row>
    <row r="39">
      <c r="A39" s="20" t="n"/>
      <c r="B39" s="20" t="n"/>
      <c r="C39" s="20" t="n"/>
      <c r="D39" s="20" t="n"/>
      <c r="E39" s="20" t="n"/>
    </row>
    <row r="40">
      <c r="A40" s="20" t="n"/>
      <c r="B40" s="20" t="n"/>
      <c r="C40" s="20" t="n"/>
      <c r="D40" s="20" t="n"/>
      <c r="E40" s="20" t="n"/>
    </row>
    <row r="41">
      <c r="A41" s="20" t="n"/>
      <c r="B41" s="20" t="n"/>
      <c r="C41" s="20" t="n"/>
      <c r="D41" s="20" t="n"/>
      <c r="E41" s="20" t="n"/>
    </row>
    <row r="42">
      <c r="A42" s="20" t="n"/>
      <c r="B42" s="20" t="n"/>
      <c r="C42" s="20" t="n"/>
      <c r="D42" s="20" t="n"/>
      <c r="E42" s="20" t="n"/>
    </row>
    <row r="43">
      <c r="A43" s="20" t="n"/>
      <c r="B43" s="20" t="n"/>
      <c r="C43" s="20" t="n"/>
      <c r="D43" s="20" t="n"/>
      <c r="E43" s="20" t="n"/>
    </row>
    <row r="44">
      <c r="A44" s="20" t="n"/>
      <c r="B44" s="20" t="n"/>
      <c r="C44" s="20" t="n"/>
      <c r="D44" s="20" t="n"/>
      <c r="E44" s="20" t="n"/>
    </row>
    <row r="45">
      <c r="A45" s="20" t="n"/>
      <c r="B45" s="20" t="n"/>
      <c r="C45" s="20" t="n"/>
      <c r="D45" s="20" t="n"/>
      <c r="E45" s="20" t="n"/>
    </row>
    <row r="46">
      <c r="A46" s="20" t="n"/>
      <c r="B46" s="20" t="n"/>
      <c r="C46" s="20" t="n"/>
      <c r="D46" s="20" t="n"/>
      <c r="E46" s="20" t="n"/>
    </row>
    <row r="47">
      <c r="A47" s="20" t="n"/>
      <c r="B47" s="20" t="n"/>
      <c r="C47" s="20" t="n"/>
      <c r="D47" s="20" t="n"/>
      <c r="E47" s="20" t="n"/>
    </row>
    <row r="48">
      <c r="A48" s="20" t="n"/>
      <c r="B48" s="20" t="n"/>
      <c r="C48" s="20" t="n"/>
      <c r="D48" s="20" t="n"/>
      <c r="E48" s="20" t="n"/>
    </row>
    <row r="49">
      <c r="A49" s="20" t="n"/>
      <c r="B49" s="20" t="n"/>
      <c r="C49" s="20" t="n"/>
      <c r="D49" s="20" t="n"/>
      <c r="E49" s="20" t="n"/>
    </row>
    <row r="50">
      <c r="A50" s="20" t="n"/>
      <c r="B50" s="20" t="n"/>
      <c r="C50" s="20" t="n"/>
      <c r="D50" s="20" t="n"/>
      <c r="E50" s="20" t="n"/>
    </row>
  </sheetData>
  <dataValidations count="3">
    <dataValidation sqref="B13" showDropDown="0" showInputMessage="0" showErrorMessage="0" allowBlank="1" type="list">
      <formula1>=ApproachList</formula1>
    </dataValidation>
    <dataValidation sqref="B14" showDropDown="0" showInputMessage="0" showErrorMessage="0" allowBlank="1" type="list">
      <formula1>=SizeList</formula1>
    </dataValidation>
    <dataValidation sqref="B15" showDropDown="0" showInputMessage="0" showErrorMessage="0" allowBlank="1" type="list">
      <formula1>=RAGList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2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7" customWidth="1" min="19" max="19"/>
    <col width="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</cols>
  <sheetData>
    <row r="1" ht="26" customHeight="1">
      <c r="A1" s="10" t="inlineStr">
        <is>
          <t>WBS &amp; schedule</t>
        </is>
      </c>
      <c r="C1" s="11" t="inlineStr">
        <is>
          <t>Latest version (click)</t>
        </is>
      </c>
    </row>
    <row r="2">
      <c r="A2" s="6" t="inlineStr">
        <is>
          <t>Template T08. Enter tasks top-down by WBS ID. Grey columns calculate automatically. Copy Start/Finish into the Baseline columns once the plan is approved.</t>
        </is>
      </c>
      <c r="U2" s="9" t="inlineStr">
        <is>
          <t>Legend: dark blue = scheduled  •  light blue = complete  •  orange = milestone  •  pink column = status date week</t>
        </is>
      </c>
    </row>
    <row r="3">
      <c r="A3" s="21" t="inlineStr">
        <is>
          <t>e.g. 2.1</t>
        </is>
      </c>
      <c r="B3" s="21" t="inlineStr">
        <is>
          <t>Requirements workshops</t>
        </is>
      </c>
      <c r="C3" s="21" t="inlineStr">
        <is>
          <t>Planning</t>
        </is>
      </c>
      <c r="D3" s="21" t="inlineStr">
        <is>
          <t>Product</t>
        </is>
      </c>
      <c r="E3" s="21" t="inlineStr">
        <is>
          <t>L. Park</t>
        </is>
      </c>
      <c r="F3" s="21" t="inlineStr">
        <is>
          <t>09/21/2026</t>
        </is>
      </c>
      <c r="G3" s="21" t="n">
        <v>8</v>
      </c>
      <c r="I3" s="21" t="inlineStr">
        <is>
          <t>1.2</t>
        </is>
      </c>
      <c r="J3" s="21" t="inlineStr">
        <is>
          <t>50%</t>
        </is>
      </c>
      <c r="K3" s="21" t="inlineStr">
        <is>
          <t>In progress</t>
        </is>
      </c>
      <c r="L3" s="21" t="inlineStr">
        <is>
          <t>09/21/2026</t>
        </is>
      </c>
      <c r="M3" s="21" t="inlineStr">
        <is>
          <t>09/30/2026</t>
        </is>
      </c>
      <c r="U3" s="22" t="inlineStr">
        <is>
          <t>Gantt (weeks starting Monday) →</t>
        </is>
      </c>
    </row>
    <row r="4" ht="32" customHeight="1">
      <c r="A4" s="23" t="inlineStr">
        <is>
          <t>WBS ID</t>
        </is>
      </c>
      <c r="B4" s="23" t="inlineStr">
        <is>
          <t>Task / milestone</t>
        </is>
      </c>
      <c r="C4" s="23" t="inlineStr">
        <is>
          <t>Phase</t>
        </is>
      </c>
      <c r="D4" s="23" t="inlineStr">
        <is>
          <t>Workstream</t>
        </is>
      </c>
      <c r="E4" s="23" t="inlineStr">
        <is>
          <t>Owner</t>
        </is>
      </c>
      <c r="F4" s="23" t="inlineStr">
        <is>
          <t>Start</t>
        </is>
      </c>
      <c r="G4" s="23" t="inlineStr">
        <is>
          <t>Duration (workdays; 0 = milestone)</t>
        </is>
      </c>
      <c r="H4" s="24" t="inlineStr">
        <is>
          <t>Finish (auto)</t>
        </is>
      </c>
      <c r="I4" s="23" t="inlineStr">
        <is>
          <t>Predecessor(s)</t>
        </is>
      </c>
      <c r="J4" s="23" t="inlineStr">
        <is>
          <t>% complete</t>
        </is>
      </c>
      <c r="K4" s="23" t="inlineStr">
        <is>
          <t>Status</t>
        </is>
      </c>
      <c r="L4" s="23" t="inlineStr">
        <is>
          <t>Baseline start</t>
        </is>
      </c>
      <c r="M4" s="23" t="inlineStr">
        <is>
          <t>Baseline finish</t>
        </is>
      </c>
      <c r="N4" s="24" t="inlineStr">
        <is>
          <t>Finish variance (days) (auto)</t>
        </is>
      </c>
      <c r="O4" s="24" t="inlineStr">
        <is>
          <t>Planned % by status date (auto)</t>
        </is>
      </c>
      <c r="P4" s="24" t="inlineStr">
        <is>
          <t>Flag (auto)</t>
        </is>
      </c>
      <c r="Q4" s="24" t="inlineStr">
        <is>
          <t>Effective % (auto)</t>
        </is>
      </c>
      <c r="R4" s="24" t="inlineStr">
        <is>
          <t>Milestone key (auto)</t>
        </is>
      </c>
      <c r="S4" s="24" t="inlineStr">
        <is>
          <t>Weight (auto)</t>
        </is>
      </c>
      <c r="U4" s="25" t="str">
        <f>IF(ProjectStart="","",ProjectStart-WEEKDAY(ProjectStart,3))</f>
        <v/>
      </c>
      <c r="V4" s="25" t="str">
        <f>IF(U4="","",U4+7)</f>
        <v/>
      </c>
      <c r="W4" s="25" t="str">
        <f>IF(V4="","",V4+7)</f>
        <v/>
      </c>
      <c r="X4" s="25" t="str">
        <f>IF(W4="","",W4+7)</f>
        <v/>
      </c>
      <c r="Y4" s="25" t="str">
        <f>IF(X4="","",X4+7)</f>
        <v/>
      </c>
      <c r="Z4" s="25" t="str">
        <f>IF(Y4="","",Y4+7)</f>
        <v/>
      </c>
      <c r="AA4" s="25" t="str">
        <f>IF(Z4="","",Z4+7)</f>
        <v/>
      </c>
      <c r="AB4" s="25" t="str">
        <f>IF(AA4="","",AA4+7)</f>
        <v/>
      </c>
      <c r="AC4" s="25" t="str">
        <f>IF(AB4="","",AB4+7)</f>
        <v/>
      </c>
      <c r="AD4" s="25" t="str">
        <f>IF(AC4="","",AC4+7)</f>
        <v/>
      </c>
      <c r="AE4" s="25" t="str">
        <f>IF(AD4="","",AD4+7)</f>
        <v/>
      </c>
      <c r="AF4" s="25" t="str">
        <f>IF(AE4="","",AE4+7)</f>
        <v/>
      </c>
      <c r="AG4" s="25" t="str">
        <f>IF(AF4="","",AF4+7)</f>
        <v/>
      </c>
      <c r="AH4" s="25" t="str">
        <f>IF(AG4="","",AG4+7)</f>
        <v/>
      </c>
      <c r="AI4" s="25" t="str">
        <f>IF(AH4="","",AH4+7)</f>
        <v/>
      </c>
      <c r="AJ4" s="25" t="str">
        <f>IF(AI4="","",AI4+7)</f>
        <v/>
      </c>
      <c r="AK4" s="25" t="str">
        <f>IF(AJ4="","",AJ4+7)</f>
        <v/>
      </c>
      <c r="AL4" s="25" t="str">
        <f>IF(AK4="","",AK4+7)</f>
        <v/>
      </c>
      <c r="AM4" s="25" t="str">
        <f>IF(AL4="","",AL4+7)</f>
        <v/>
      </c>
      <c r="AN4" s="25" t="str">
        <f>IF(AM4="","",AM4+7)</f>
        <v/>
      </c>
      <c r="AO4" s="25" t="str">
        <f>IF(AN4="","",AN4+7)</f>
        <v/>
      </c>
      <c r="AP4" s="25" t="str">
        <f>IF(AO4="","",AO4+7)</f>
        <v/>
      </c>
      <c r="AQ4" s="25" t="str">
        <f>IF(AP4="","",AP4+7)</f>
        <v/>
      </c>
      <c r="AR4" s="25" t="str">
        <f>IF(AQ4="","",AQ4+7)</f>
        <v/>
      </c>
      <c r="AS4" s="25" t="str">
        <f>IF(AR4="","",AR4+7)</f>
        <v/>
      </c>
      <c r="AT4" s="25" t="str">
        <f>IF(AS4="","",AS4+7)</f>
        <v/>
      </c>
      <c r="AU4" s="25" t="str">
        <f>IF(AT4="","",AT4+7)</f>
        <v/>
      </c>
      <c r="AV4" s="25" t="str">
        <f>IF(AU4="","",AU4+7)</f>
        <v/>
      </c>
      <c r="AW4" s="25" t="str">
        <f>IF(AV4="","",AV4+7)</f>
        <v/>
      </c>
      <c r="AX4" s="25" t="str">
        <f>IF(AW4="","",AW4+7)</f>
        <v/>
      </c>
      <c r="AY4" s="25" t="str">
        <f>IF(AX4="","",AX4+7)</f>
        <v/>
      </c>
      <c r="AZ4" s="25" t="str">
        <f>IF(AY4="","",AY4+7)</f>
        <v/>
      </c>
      <c r="BA4" s="25" t="str">
        <f>IF(AZ4="","",AZ4+7)</f>
        <v/>
      </c>
      <c r="BB4" s="25" t="str">
        <f>IF(BA4="","",BA4+7)</f>
        <v/>
      </c>
      <c r="BC4" s="25" t="str">
        <f>IF(BB4="","",BB4+7)</f>
        <v/>
      </c>
      <c r="BD4" s="25" t="str">
        <f>IF(BC4="","",BC4+7)</f>
        <v/>
      </c>
      <c r="BE4" s="25" t="str">
        <f>IF(BD4="","",BD4+7)</f>
        <v/>
      </c>
      <c r="BF4" s="25" t="str">
        <f>IF(BE4="","",BE4+7)</f>
        <v/>
      </c>
      <c r="BG4" s="25" t="str">
        <f>IF(BF4="","",BF4+7)</f>
        <v/>
      </c>
      <c r="BH4" s="25" t="str">
        <f>IF(BG4="","",BG4+7)</f>
        <v/>
      </c>
    </row>
    <row r="5" ht="15" customHeight="1">
      <c r="A5" s="26" t="n"/>
      <c r="B5" s="27" t="n"/>
      <c r="C5" s="27" t="n"/>
      <c r="D5" s="27" t="n"/>
      <c r="E5" s="27" t="n"/>
      <c r="F5" s="28" t="n"/>
      <c r="G5" s="27" t="n"/>
      <c r="H5" s="29" t="str">
        <f>IF(OR(F5="",G5=""),"",IF(G5=0,F5,WORKDAY(F5,G5-1)))</f>
        <v/>
      </c>
      <c r="I5" s="27" t="n"/>
      <c r="J5" s="30" t="n"/>
      <c r="K5" s="27" t="n"/>
      <c r="L5" s="28" t="n"/>
      <c r="M5" s="28" t="n"/>
      <c r="N5" s="31" t="str">
        <f>IF(OR(H5="",M5=""),"",H5-M5)</f>
        <v/>
      </c>
      <c r="O5" s="32" t="str">
        <f>IF(OR(F5="",H5=""),"",IF(StatusDate&lt;F5,0,IF(StatusDate&gt;=H5,1,NETWORKDAYS(F5,StatusDate)/MAX(1,G5))))</f>
        <v/>
      </c>
      <c r="P5" s="33" t="str">
        <f>IF(B5="","",IF(AND(K5&lt;&gt;"Complete",H5&lt;&gt;"",H5&lt;StatusDate),"Overdue",IF(K5="Blocked","Blocked",IF(AND(O5&lt;&gt;"",K5&lt;&gt;"Complete",N(J5)&lt;O5-0.2),"Behind",""))))</f>
        <v/>
      </c>
      <c r="Q5" s="32" t="str">
        <f>IF(B5="","",IF(K5="Complete",1,N(J5)))</f>
        <v/>
      </c>
      <c r="R5" s="34" t="str">
        <f>IF(AND(B5&lt;&gt;"",G5=0,H5&lt;&gt;""),IF(K5&lt;&gt;"Complete",1,-1)*(H5+ROW()/100000),"")</f>
        <v/>
      </c>
      <c r="S5" s="33">
        <f>IF(OR(B5="",G5=""),0,IF(COUNTIF($A$5:$A$154,A5&amp;".*")&gt;0,0,G5))</f>
        <v>0</v>
      </c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  <c r="AG5" s="35" t="n"/>
      <c r="AH5" s="35" t="n"/>
      <c r="AI5" s="35" t="n"/>
      <c r="AJ5" s="35" t="n"/>
      <c r="AK5" s="35" t="n"/>
      <c r="AL5" s="35" t="n"/>
      <c r="AM5" s="35" t="n"/>
      <c r="AN5" s="35" t="n"/>
      <c r="AO5" s="35" t="n"/>
      <c r="AP5" s="35" t="n"/>
      <c r="AQ5" s="35" t="n"/>
      <c r="AR5" s="35" t="n"/>
      <c r="AS5" s="35" t="n"/>
      <c r="AT5" s="35" t="n"/>
      <c r="AU5" s="35" t="n"/>
      <c r="AV5" s="35" t="n"/>
      <c r="AW5" s="35" t="n"/>
      <c r="AX5" s="35" t="n"/>
      <c r="AY5" s="35" t="n"/>
      <c r="AZ5" s="35" t="n"/>
      <c r="BA5" s="35" t="n"/>
      <c r="BB5" s="35" t="n"/>
      <c r="BC5" s="35" t="n"/>
      <c r="BD5" s="35" t="n"/>
      <c r="BE5" s="35" t="n"/>
      <c r="BF5" s="35" t="n"/>
      <c r="BG5" s="35" t="n"/>
      <c r="BH5" s="35" t="n"/>
    </row>
    <row r="6" ht="15" customHeight="1">
      <c r="A6" s="26" t="n"/>
      <c r="B6" s="27" t="n"/>
      <c r="C6" s="27" t="n"/>
      <c r="D6" s="27" t="n"/>
      <c r="E6" s="27" t="n"/>
      <c r="F6" s="28" t="n"/>
      <c r="G6" s="27" t="n"/>
      <c r="H6" s="29" t="str">
        <f>IF(OR(F6="",G6=""),"",IF(G6=0,F6,WORKDAY(F6,G6-1)))</f>
        <v/>
      </c>
      <c r="I6" s="27" t="n"/>
      <c r="J6" s="30" t="n"/>
      <c r="K6" s="27" t="n"/>
      <c r="L6" s="28" t="n"/>
      <c r="M6" s="28" t="n"/>
      <c r="N6" s="31" t="str">
        <f>IF(OR(H6="",M6=""),"",H6-M6)</f>
        <v/>
      </c>
      <c r="O6" s="32" t="str">
        <f>IF(OR(F6="",H6=""),"",IF(StatusDate&lt;F6,0,IF(StatusDate&gt;=H6,1,NETWORKDAYS(F6,StatusDate)/MAX(1,G6))))</f>
        <v/>
      </c>
      <c r="P6" s="33" t="str">
        <f>IF(B6="","",IF(AND(K6&lt;&gt;"Complete",H6&lt;&gt;"",H6&lt;StatusDate),"Overdue",IF(K6="Blocked","Blocked",IF(AND(O6&lt;&gt;"",K6&lt;&gt;"Complete",N(J6)&lt;O6-0.2),"Behind",""))))</f>
        <v/>
      </c>
      <c r="Q6" s="32" t="str">
        <f>IF(B6="","",IF(K6="Complete",1,N(J6)))</f>
        <v/>
      </c>
      <c r="R6" s="34" t="str">
        <f>IF(AND(B6&lt;&gt;"",G6=0,H6&lt;&gt;""),IF(K6&lt;&gt;"Complete",1,-1)*(H6+ROW()/100000),"")</f>
        <v/>
      </c>
      <c r="S6" s="33">
        <f>IF(OR(B6="",G6=""),0,IF(COUNTIF($A$5:$A$154,A6&amp;".*")&gt;0,0,G6))</f>
        <v>0</v>
      </c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n"/>
      <c r="AV6" s="35" t="n"/>
      <c r="AW6" s="35" t="n"/>
      <c r="AX6" s="35" t="n"/>
      <c r="AY6" s="35" t="n"/>
      <c r="AZ6" s="35" t="n"/>
      <c r="BA6" s="35" t="n"/>
      <c r="BB6" s="35" t="n"/>
      <c r="BC6" s="35" t="n"/>
      <c r="BD6" s="35" t="n"/>
      <c r="BE6" s="35" t="n"/>
      <c r="BF6" s="35" t="n"/>
      <c r="BG6" s="35" t="n"/>
      <c r="BH6" s="35" t="n"/>
    </row>
    <row r="7" ht="15" customHeight="1">
      <c r="A7" s="26" t="n"/>
      <c r="B7" s="27" t="n"/>
      <c r="C7" s="27" t="n"/>
      <c r="D7" s="27" t="n"/>
      <c r="E7" s="27" t="n"/>
      <c r="F7" s="28" t="n"/>
      <c r="G7" s="27" t="n"/>
      <c r="H7" s="29" t="str">
        <f>IF(OR(F7="",G7=""),"",IF(G7=0,F7,WORKDAY(F7,G7-1)))</f>
        <v/>
      </c>
      <c r="I7" s="27" t="n"/>
      <c r="J7" s="30" t="n"/>
      <c r="K7" s="27" t="n"/>
      <c r="L7" s="28" t="n"/>
      <c r="M7" s="28" t="n"/>
      <c r="N7" s="31" t="str">
        <f>IF(OR(H7="",M7=""),"",H7-M7)</f>
        <v/>
      </c>
      <c r="O7" s="32" t="str">
        <f>IF(OR(F7="",H7=""),"",IF(StatusDate&lt;F7,0,IF(StatusDate&gt;=H7,1,NETWORKDAYS(F7,StatusDate)/MAX(1,G7))))</f>
        <v/>
      </c>
      <c r="P7" s="33" t="str">
        <f>IF(B7="","",IF(AND(K7&lt;&gt;"Complete",H7&lt;&gt;"",H7&lt;StatusDate),"Overdue",IF(K7="Blocked","Blocked",IF(AND(O7&lt;&gt;"",K7&lt;&gt;"Complete",N(J7)&lt;O7-0.2),"Behind",""))))</f>
        <v/>
      </c>
      <c r="Q7" s="32" t="str">
        <f>IF(B7="","",IF(K7="Complete",1,N(J7)))</f>
        <v/>
      </c>
      <c r="R7" s="34" t="str">
        <f>IF(AND(B7&lt;&gt;"",G7=0,H7&lt;&gt;""),IF(K7&lt;&gt;"Complete",1,-1)*(H7+ROW()/100000),"")</f>
        <v/>
      </c>
      <c r="S7" s="33">
        <f>IF(OR(B7="",G7=""),0,IF(COUNTIF($A$5:$A$154,A7&amp;".*")&gt;0,0,G7))</f>
        <v>0</v>
      </c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35" t="n"/>
      <c r="AM7" s="35" t="n"/>
      <c r="AN7" s="35" t="n"/>
      <c r="AO7" s="35" t="n"/>
      <c r="AP7" s="35" t="n"/>
      <c r="AQ7" s="35" t="n"/>
      <c r="AR7" s="35" t="n"/>
      <c r="AS7" s="35" t="n"/>
      <c r="AT7" s="35" t="n"/>
      <c r="AU7" s="35" t="n"/>
      <c r="AV7" s="35" t="n"/>
      <c r="AW7" s="35" t="n"/>
      <c r="AX7" s="35" t="n"/>
      <c r="AY7" s="35" t="n"/>
      <c r="AZ7" s="35" t="n"/>
      <c r="BA7" s="35" t="n"/>
      <c r="BB7" s="35" t="n"/>
      <c r="BC7" s="35" t="n"/>
      <c r="BD7" s="35" t="n"/>
      <c r="BE7" s="35" t="n"/>
      <c r="BF7" s="35" t="n"/>
      <c r="BG7" s="35" t="n"/>
      <c r="BH7" s="35" t="n"/>
    </row>
    <row r="8" ht="15" customHeight="1">
      <c r="A8" s="26" t="n"/>
      <c r="B8" s="27" t="n"/>
      <c r="C8" s="27" t="n"/>
      <c r="D8" s="27" t="n"/>
      <c r="E8" s="27" t="n"/>
      <c r="F8" s="28" t="n"/>
      <c r="G8" s="27" t="n"/>
      <c r="H8" s="29" t="str">
        <f>IF(OR(F8="",G8=""),"",IF(G8=0,F8,WORKDAY(F8,G8-1)))</f>
        <v/>
      </c>
      <c r="I8" s="27" t="n"/>
      <c r="J8" s="30" t="n"/>
      <c r="K8" s="27" t="n"/>
      <c r="L8" s="28" t="n"/>
      <c r="M8" s="28" t="n"/>
      <c r="N8" s="31" t="str">
        <f>IF(OR(H8="",M8=""),"",H8-M8)</f>
        <v/>
      </c>
      <c r="O8" s="32" t="str">
        <f>IF(OR(F8="",H8=""),"",IF(StatusDate&lt;F8,0,IF(StatusDate&gt;=H8,1,NETWORKDAYS(F8,StatusDate)/MAX(1,G8))))</f>
        <v/>
      </c>
      <c r="P8" s="33" t="str">
        <f>IF(B8="","",IF(AND(K8&lt;&gt;"Complete",H8&lt;&gt;"",H8&lt;StatusDate),"Overdue",IF(K8="Blocked","Blocked",IF(AND(O8&lt;&gt;"",K8&lt;&gt;"Complete",N(J8)&lt;O8-0.2),"Behind",""))))</f>
        <v/>
      </c>
      <c r="Q8" s="32" t="str">
        <f>IF(B8="","",IF(K8="Complete",1,N(J8)))</f>
        <v/>
      </c>
      <c r="R8" s="34" t="str">
        <f>IF(AND(B8&lt;&gt;"",G8=0,H8&lt;&gt;""),IF(K8&lt;&gt;"Complete",1,-1)*(H8+ROW()/100000),"")</f>
        <v/>
      </c>
      <c r="S8" s="33">
        <f>IF(OR(B8="",G8=""),0,IF(COUNTIF($A$5:$A$154,A8&amp;".*")&gt;0,0,G8))</f>
        <v>0</v>
      </c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</row>
    <row r="9" ht="15" customHeight="1">
      <c r="A9" s="26" t="n"/>
      <c r="B9" s="27" t="n"/>
      <c r="C9" s="27" t="n"/>
      <c r="D9" s="27" t="n"/>
      <c r="E9" s="27" t="n"/>
      <c r="F9" s="28" t="n"/>
      <c r="G9" s="27" t="n"/>
      <c r="H9" s="29" t="str">
        <f>IF(OR(F9="",G9=""),"",IF(G9=0,F9,WORKDAY(F9,G9-1)))</f>
        <v/>
      </c>
      <c r="I9" s="27" t="n"/>
      <c r="J9" s="30" t="n"/>
      <c r="K9" s="27" t="n"/>
      <c r="L9" s="28" t="n"/>
      <c r="M9" s="28" t="n"/>
      <c r="N9" s="31" t="str">
        <f>IF(OR(H9="",M9=""),"",H9-M9)</f>
        <v/>
      </c>
      <c r="O9" s="32" t="str">
        <f>IF(OR(F9="",H9=""),"",IF(StatusDate&lt;F9,0,IF(StatusDate&gt;=H9,1,NETWORKDAYS(F9,StatusDate)/MAX(1,G9))))</f>
        <v/>
      </c>
      <c r="P9" s="33" t="str">
        <f>IF(B9="","",IF(AND(K9&lt;&gt;"Complete",H9&lt;&gt;"",H9&lt;StatusDate),"Overdue",IF(K9="Blocked","Blocked",IF(AND(O9&lt;&gt;"",K9&lt;&gt;"Complete",N(J9)&lt;O9-0.2),"Behind",""))))</f>
        <v/>
      </c>
      <c r="Q9" s="32" t="str">
        <f>IF(B9="","",IF(K9="Complete",1,N(J9)))</f>
        <v/>
      </c>
      <c r="R9" s="34" t="str">
        <f>IF(AND(B9&lt;&gt;"",G9=0,H9&lt;&gt;""),IF(K9&lt;&gt;"Complete",1,-1)*(H9+ROW()/100000),"")</f>
        <v/>
      </c>
      <c r="S9" s="33">
        <f>IF(OR(B9="",G9=""),0,IF(COUNTIF($A$5:$A$154,A9&amp;".*")&gt;0,0,G9))</f>
        <v>0</v>
      </c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5" t="n"/>
      <c r="BE9" s="35" t="n"/>
      <c r="BF9" s="35" t="n"/>
      <c r="BG9" s="35" t="n"/>
      <c r="BH9" s="35" t="n"/>
    </row>
    <row r="10" ht="15" customHeight="1">
      <c r="A10" s="26" t="n"/>
      <c r="B10" s="27" t="n"/>
      <c r="C10" s="27" t="n"/>
      <c r="D10" s="27" t="n"/>
      <c r="E10" s="27" t="n"/>
      <c r="F10" s="28" t="n"/>
      <c r="G10" s="27" t="n"/>
      <c r="H10" s="29" t="str">
        <f>IF(OR(F10="",G10=""),"",IF(G10=0,F10,WORKDAY(F10,G10-1)))</f>
        <v/>
      </c>
      <c r="I10" s="27" t="n"/>
      <c r="J10" s="30" t="n"/>
      <c r="K10" s="27" t="n"/>
      <c r="L10" s="28" t="n"/>
      <c r="M10" s="28" t="n"/>
      <c r="N10" s="31" t="str">
        <f>IF(OR(H10="",M10=""),"",H10-M10)</f>
        <v/>
      </c>
      <c r="O10" s="32" t="str">
        <f>IF(OR(F10="",H10=""),"",IF(StatusDate&lt;F10,0,IF(StatusDate&gt;=H10,1,NETWORKDAYS(F10,StatusDate)/MAX(1,G10))))</f>
        <v/>
      </c>
      <c r="P10" s="33" t="str">
        <f>IF(B10="","",IF(AND(K10&lt;&gt;"Complete",H10&lt;&gt;"",H10&lt;StatusDate),"Overdue",IF(K10="Blocked","Blocked",IF(AND(O10&lt;&gt;"",K10&lt;&gt;"Complete",N(J10)&lt;O10-0.2),"Behind",""))))</f>
        <v/>
      </c>
      <c r="Q10" s="32" t="str">
        <f>IF(B10="","",IF(K10="Complete",1,N(J10)))</f>
        <v/>
      </c>
      <c r="R10" s="34" t="str">
        <f>IF(AND(B10&lt;&gt;"",G10=0,H10&lt;&gt;""),IF(K10&lt;&gt;"Complete",1,-1)*(H10+ROW()/100000),"")</f>
        <v/>
      </c>
      <c r="S10" s="33">
        <f>IF(OR(B10="",G10=""),0,IF(COUNTIF($A$5:$A$154,A10&amp;".*")&gt;0,0,G10))</f>
        <v>0</v>
      </c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35" t="n"/>
      <c r="AR10" s="35" t="n"/>
      <c r="AS10" s="35" t="n"/>
      <c r="AT10" s="35" t="n"/>
      <c r="AU10" s="35" t="n"/>
      <c r="AV10" s="35" t="n"/>
      <c r="AW10" s="35" t="n"/>
      <c r="AX10" s="35" t="n"/>
      <c r="AY10" s="35" t="n"/>
      <c r="AZ10" s="35" t="n"/>
      <c r="BA10" s="35" t="n"/>
      <c r="BB10" s="35" t="n"/>
      <c r="BC10" s="35" t="n"/>
      <c r="BD10" s="35" t="n"/>
      <c r="BE10" s="35" t="n"/>
      <c r="BF10" s="35" t="n"/>
      <c r="BG10" s="35" t="n"/>
      <c r="BH10" s="35" t="n"/>
    </row>
    <row r="11" ht="15" customHeight="1">
      <c r="A11" s="26" t="n"/>
      <c r="B11" s="27" t="n"/>
      <c r="C11" s="27" t="n"/>
      <c r="D11" s="27" t="n"/>
      <c r="E11" s="27" t="n"/>
      <c r="F11" s="28" t="n"/>
      <c r="G11" s="27" t="n"/>
      <c r="H11" s="29" t="str">
        <f>IF(OR(F11="",G11=""),"",IF(G11=0,F11,WORKDAY(F11,G11-1)))</f>
        <v/>
      </c>
      <c r="I11" s="27" t="n"/>
      <c r="J11" s="30" t="n"/>
      <c r="K11" s="27" t="n"/>
      <c r="L11" s="28" t="n"/>
      <c r="M11" s="28" t="n"/>
      <c r="N11" s="31" t="str">
        <f>IF(OR(H11="",M11=""),"",H11-M11)</f>
        <v/>
      </c>
      <c r="O11" s="32" t="str">
        <f>IF(OR(F11="",H11=""),"",IF(StatusDate&lt;F11,0,IF(StatusDate&gt;=H11,1,NETWORKDAYS(F11,StatusDate)/MAX(1,G11))))</f>
        <v/>
      </c>
      <c r="P11" s="33" t="str">
        <f>IF(B11="","",IF(AND(K11&lt;&gt;"Complete",H11&lt;&gt;"",H11&lt;StatusDate),"Overdue",IF(K11="Blocked","Blocked",IF(AND(O11&lt;&gt;"",K11&lt;&gt;"Complete",N(J11)&lt;O11-0.2),"Behind",""))))</f>
        <v/>
      </c>
      <c r="Q11" s="32" t="str">
        <f>IF(B11="","",IF(K11="Complete",1,N(J11)))</f>
        <v/>
      </c>
      <c r="R11" s="34" t="str">
        <f>IF(AND(B11&lt;&gt;"",G11=0,H11&lt;&gt;""),IF(K11&lt;&gt;"Complete",1,-1)*(H11+ROW()/100000),"")</f>
        <v/>
      </c>
      <c r="S11" s="33">
        <f>IF(OR(B11="",G11=""),0,IF(COUNTIF($A$5:$A$154,A11&amp;".*")&gt;0,0,G11))</f>
        <v>0</v>
      </c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5" t="n"/>
      <c r="AV11" s="35" t="n"/>
      <c r="AW11" s="35" t="n"/>
      <c r="AX11" s="35" t="n"/>
      <c r="AY11" s="35" t="n"/>
      <c r="AZ11" s="35" t="n"/>
      <c r="BA11" s="35" t="n"/>
      <c r="BB11" s="35" t="n"/>
      <c r="BC11" s="35" t="n"/>
      <c r="BD11" s="35" t="n"/>
      <c r="BE11" s="35" t="n"/>
      <c r="BF11" s="35" t="n"/>
      <c r="BG11" s="35" t="n"/>
      <c r="BH11" s="35" t="n"/>
    </row>
    <row r="12" ht="15" customHeight="1">
      <c r="A12" s="26" t="n"/>
      <c r="B12" s="27" t="n"/>
      <c r="C12" s="27" t="n"/>
      <c r="D12" s="27" t="n"/>
      <c r="E12" s="27" t="n"/>
      <c r="F12" s="28" t="n"/>
      <c r="G12" s="27" t="n"/>
      <c r="H12" s="29" t="str">
        <f>IF(OR(F12="",G12=""),"",IF(G12=0,F12,WORKDAY(F12,G12-1)))</f>
        <v/>
      </c>
      <c r="I12" s="27" t="n"/>
      <c r="J12" s="30" t="n"/>
      <c r="K12" s="27" t="n"/>
      <c r="L12" s="28" t="n"/>
      <c r="M12" s="28" t="n"/>
      <c r="N12" s="31" t="str">
        <f>IF(OR(H12="",M12=""),"",H12-M12)</f>
        <v/>
      </c>
      <c r="O12" s="32" t="str">
        <f>IF(OR(F12="",H12=""),"",IF(StatusDate&lt;F12,0,IF(StatusDate&gt;=H12,1,NETWORKDAYS(F12,StatusDate)/MAX(1,G12))))</f>
        <v/>
      </c>
      <c r="P12" s="33" t="str">
        <f>IF(B12="","",IF(AND(K12&lt;&gt;"Complete",H12&lt;&gt;"",H12&lt;StatusDate),"Overdue",IF(K12="Blocked","Blocked",IF(AND(O12&lt;&gt;"",K12&lt;&gt;"Complete",N(J12)&lt;O12-0.2),"Behind",""))))</f>
        <v/>
      </c>
      <c r="Q12" s="32" t="str">
        <f>IF(B12="","",IF(K12="Complete",1,N(J12)))</f>
        <v/>
      </c>
      <c r="R12" s="34" t="str">
        <f>IF(AND(B12&lt;&gt;"",G12=0,H12&lt;&gt;""),IF(K12&lt;&gt;"Complete",1,-1)*(H12+ROW()/100000),"")</f>
        <v/>
      </c>
      <c r="S12" s="33">
        <f>IF(OR(B12="",G12=""),0,IF(COUNTIF($A$5:$A$154,A12&amp;".*")&gt;0,0,G12))</f>
        <v>0</v>
      </c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  <c r="BC12" s="35" t="n"/>
      <c r="BD12" s="35" t="n"/>
      <c r="BE12" s="35" t="n"/>
      <c r="BF12" s="35" t="n"/>
      <c r="BG12" s="35" t="n"/>
      <c r="BH12" s="35" t="n"/>
    </row>
    <row r="13" ht="15" customHeight="1">
      <c r="A13" s="26" t="n"/>
      <c r="B13" s="27" t="n"/>
      <c r="C13" s="27" t="n"/>
      <c r="D13" s="27" t="n"/>
      <c r="E13" s="27" t="n"/>
      <c r="F13" s="28" t="n"/>
      <c r="G13" s="27" t="n"/>
      <c r="H13" s="29" t="str">
        <f>IF(OR(F13="",G13=""),"",IF(G13=0,F13,WORKDAY(F13,G13-1)))</f>
        <v/>
      </c>
      <c r="I13" s="27" t="n"/>
      <c r="J13" s="30" t="n"/>
      <c r="K13" s="27" t="n"/>
      <c r="L13" s="28" t="n"/>
      <c r="M13" s="28" t="n"/>
      <c r="N13" s="31" t="str">
        <f>IF(OR(H13="",M13=""),"",H13-M13)</f>
        <v/>
      </c>
      <c r="O13" s="32" t="str">
        <f>IF(OR(F13="",H13=""),"",IF(StatusDate&lt;F13,0,IF(StatusDate&gt;=H13,1,NETWORKDAYS(F13,StatusDate)/MAX(1,G13))))</f>
        <v/>
      </c>
      <c r="P13" s="33" t="str">
        <f>IF(B13="","",IF(AND(K13&lt;&gt;"Complete",H13&lt;&gt;"",H13&lt;StatusDate),"Overdue",IF(K13="Blocked","Blocked",IF(AND(O13&lt;&gt;"",K13&lt;&gt;"Complete",N(J13)&lt;O13-0.2),"Behind",""))))</f>
        <v/>
      </c>
      <c r="Q13" s="32" t="str">
        <f>IF(B13="","",IF(K13="Complete",1,N(J13)))</f>
        <v/>
      </c>
      <c r="R13" s="34" t="str">
        <f>IF(AND(B13&lt;&gt;"",G13=0,H13&lt;&gt;""),IF(K13&lt;&gt;"Complete",1,-1)*(H13+ROW()/100000),"")</f>
        <v/>
      </c>
      <c r="S13" s="33">
        <f>IF(OR(B13="",G13=""),0,IF(COUNTIF($A$5:$A$154,A13&amp;".*")&gt;0,0,G13))</f>
        <v>0</v>
      </c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</row>
    <row r="14" ht="15" customHeight="1">
      <c r="A14" s="26" t="n"/>
      <c r="B14" s="27" t="n"/>
      <c r="C14" s="27" t="n"/>
      <c r="D14" s="27" t="n"/>
      <c r="E14" s="27" t="n"/>
      <c r="F14" s="28" t="n"/>
      <c r="G14" s="27" t="n"/>
      <c r="H14" s="29" t="str">
        <f>IF(OR(F14="",G14=""),"",IF(G14=0,F14,WORKDAY(F14,G14-1)))</f>
        <v/>
      </c>
      <c r="I14" s="27" t="n"/>
      <c r="J14" s="30" t="n"/>
      <c r="K14" s="27" t="n"/>
      <c r="L14" s="28" t="n"/>
      <c r="M14" s="28" t="n"/>
      <c r="N14" s="31" t="str">
        <f>IF(OR(H14="",M14=""),"",H14-M14)</f>
        <v/>
      </c>
      <c r="O14" s="32" t="str">
        <f>IF(OR(F14="",H14=""),"",IF(StatusDate&lt;F14,0,IF(StatusDate&gt;=H14,1,NETWORKDAYS(F14,StatusDate)/MAX(1,G14))))</f>
        <v/>
      </c>
      <c r="P14" s="33" t="str">
        <f>IF(B14="","",IF(AND(K14&lt;&gt;"Complete",H14&lt;&gt;"",H14&lt;StatusDate),"Overdue",IF(K14="Blocked","Blocked",IF(AND(O14&lt;&gt;"",K14&lt;&gt;"Complete",N(J14)&lt;O14-0.2),"Behind",""))))</f>
        <v/>
      </c>
      <c r="Q14" s="32" t="str">
        <f>IF(B14="","",IF(K14="Complete",1,N(J14)))</f>
        <v/>
      </c>
      <c r="R14" s="34" t="str">
        <f>IF(AND(B14&lt;&gt;"",G14=0,H14&lt;&gt;""),IF(K14&lt;&gt;"Complete",1,-1)*(H14+ROW()/100000),"")</f>
        <v/>
      </c>
      <c r="S14" s="33">
        <f>IF(OR(B14="",G14=""),0,IF(COUNTIF($A$5:$A$154,A14&amp;".*")&gt;0,0,G14))</f>
        <v>0</v>
      </c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5" t="n"/>
      <c r="BE14" s="35" t="n"/>
      <c r="BF14" s="35" t="n"/>
      <c r="BG14" s="35" t="n"/>
      <c r="BH14" s="35" t="n"/>
    </row>
    <row r="15" ht="15" customHeight="1">
      <c r="A15" s="26" t="n"/>
      <c r="B15" s="27" t="n"/>
      <c r="C15" s="27" t="n"/>
      <c r="D15" s="27" t="n"/>
      <c r="E15" s="27" t="n"/>
      <c r="F15" s="28" t="n"/>
      <c r="G15" s="27" t="n"/>
      <c r="H15" s="29" t="str">
        <f>IF(OR(F15="",G15=""),"",IF(G15=0,F15,WORKDAY(F15,G15-1)))</f>
        <v/>
      </c>
      <c r="I15" s="27" t="n"/>
      <c r="J15" s="30" t="n"/>
      <c r="K15" s="27" t="n"/>
      <c r="L15" s="28" t="n"/>
      <c r="M15" s="28" t="n"/>
      <c r="N15" s="31" t="str">
        <f>IF(OR(H15="",M15=""),"",H15-M15)</f>
        <v/>
      </c>
      <c r="O15" s="32" t="str">
        <f>IF(OR(F15="",H15=""),"",IF(StatusDate&lt;F15,0,IF(StatusDate&gt;=H15,1,NETWORKDAYS(F15,StatusDate)/MAX(1,G15))))</f>
        <v/>
      </c>
      <c r="P15" s="33" t="str">
        <f>IF(B15="","",IF(AND(K15&lt;&gt;"Complete",H15&lt;&gt;"",H15&lt;StatusDate),"Overdue",IF(K15="Blocked","Blocked",IF(AND(O15&lt;&gt;"",K15&lt;&gt;"Complete",N(J15)&lt;O15-0.2),"Behind",""))))</f>
        <v/>
      </c>
      <c r="Q15" s="32" t="str">
        <f>IF(B15="","",IF(K15="Complete",1,N(J15)))</f>
        <v/>
      </c>
      <c r="R15" s="34" t="str">
        <f>IF(AND(B15&lt;&gt;"",G15=0,H15&lt;&gt;""),IF(K15&lt;&gt;"Complete",1,-1)*(H15+ROW()/100000),"")</f>
        <v/>
      </c>
      <c r="S15" s="33">
        <f>IF(OR(B15="",G15=""),0,IF(COUNTIF($A$5:$A$154,A15&amp;".*")&gt;0,0,G15))</f>
        <v>0</v>
      </c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  <c r="BD15" s="35" t="n"/>
      <c r="BE15" s="35" t="n"/>
      <c r="BF15" s="35" t="n"/>
      <c r="BG15" s="35" t="n"/>
      <c r="BH15" s="35" t="n"/>
    </row>
    <row r="16" ht="15" customHeight="1">
      <c r="A16" s="26" t="n"/>
      <c r="B16" s="27" t="n"/>
      <c r="C16" s="27" t="n"/>
      <c r="D16" s="27" t="n"/>
      <c r="E16" s="27" t="n"/>
      <c r="F16" s="28" t="n"/>
      <c r="G16" s="27" t="n"/>
      <c r="H16" s="29" t="str">
        <f>IF(OR(F16="",G16=""),"",IF(G16=0,F16,WORKDAY(F16,G16-1)))</f>
        <v/>
      </c>
      <c r="I16" s="27" t="n"/>
      <c r="J16" s="30" t="n"/>
      <c r="K16" s="27" t="n"/>
      <c r="L16" s="28" t="n"/>
      <c r="M16" s="28" t="n"/>
      <c r="N16" s="31" t="str">
        <f>IF(OR(H16="",M16=""),"",H16-M16)</f>
        <v/>
      </c>
      <c r="O16" s="32" t="str">
        <f>IF(OR(F16="",H16=""),"",IF(StatusDate&lt;F16,0,IF(StatusDate&gt;=H16,1,NETWORKDAYS(F16,StatusDate)/MAX(1,G16))))</f>
        <v/>
      </c>
      <c r="P16" s="33" t="str">
        <f>IF(B16="","",IF(AND(K16&lt;&gt;"Complete",H16&lt;&gt;"",H16&lt;StatusDate),"Overdue",IF(K16="Blocked","Blocked",IF(AND(O16&lt;&gt;"",K16&lt;&gt;"Complete",N(J16)&lt;O16-0.2),"Behind",""))))</f>
        <v/>
      </c>
      <c r="Q16" s="32" t="str">
        <f>IF(B16="","",IF(K16="Complete",1,N(J16)))</f>
        <v/>
      </c>
      <c r="R16" s="34" t="str">
        <f>IF(AND(B16&lt;&gt;"",G16=0,H16&lt;&gt;""),IF(K16&lt;&gt;"Complete",1,-1)*(H16+ROW()/100000),"")</f>
        <v/>
      </c>
      <c r="S16" s="33">
        <f>IF(OR(B16="",G16=""),0,IF(COUNTIF($A$5:$A$154,A16&amp;".*")&gt;0,0,G16))</f>
        <v>0</v>
      </c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5" t="n"/>
      <c r="BE16" s="35" t="n"/>
      <c r="BF16" s="35" t="n"/>
      <c r="BG16" s="35" t="n"/>
      <c r="BH16" s="35" t="n"/>
    </row>
    <row r="17" ht="15" customHeight="1">
      <c r="A17" s="26" t="n"/>
      <c r="B17" s="27" t="n"/>
      <c r="C17" s="27" t="n"/>
      <c r="D17" s="27" t="n"/>
      <c r="E17" s="27" t="n"/>
      <c r="F17" s="28" t="n"/>
      <c r="G17" s="27" t="n"/>
      <c r="H17" s="29" t="str">
        <f>IF(OR(F17="",G17=""),"",IF(G17=0,F17,WORKDAY(F17,G17-1)))</f>
        <v/>
      </c>
      <c r="I17" s="27" t="n"/>
      <c r="J17" s="30" t="n"/>
      <c r="K17" s="27" t="n"/>
      <c r="L17" s="28" t="n"/>
      <c r="M17" s="28" t="n"/>
      <c r="N17" s="31" t="str">
        <f>IF(OR(H17="",M17=""),"",H17-M17)</f>
        <v/>
      </c>
      <c r="O17" s="32" t="str">
        <f>IF(OR(F17="",H17=""),"",IF(StatusDate&lt;F17,0,IF(StatusDate&gt;=H17,1,NETWORKDAYS(F17,StatusDate)/MAX(1,G17))))</f>
        <v/>
      </c>
      <c r="P17" s="33" t="str">
        <f>IF(B17="","",IF(AND(K17&lt;&gt;"Complete",H17&lt;&gt;"",H17&lt;StatusDate),"Overdue",IF(K17="Blocked","Blocked",IF(AND(O17&lt;&gt;"",K17&lt;&gt;"Complete",N(J17)&lt;O17-0.2),"Behind",""))))</f>
        <v/>
      </c>
      <c r="Q17" s="32" t="str">
        <f>IF(B17="","",IF(K17="Complete",1,N(J17)))</f>
        <v/>
      </c>
      <c r="R17" s="34" t="str">
        <f>IF(AND(B17&lt;&gt;"",G17=0,H17&lt;&gt;""),IF(K17&lt;&gt;"Complete",1,-1)*(H17+ROW()/100000),"")</f>
        <v/>
      </c>
      <c r="S17" s="33">
        <f>IF(OR(B17="",G17=""),0,IF(COUNTIF($A$5:$A$154,A17&amp;".*")&gt;0,0,G17))</f>
        <v>0</v>
      </c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  <c r="BC17" s="35" t="n"/>
      <c r="BD17" s="35" t="n"/>
      <c r="BE17" s="35" t="n"/>
      <c r="BF17" s="35" t="n"/>
      <c r="BG17" s="35" t="n"/>
      <c r="BH17" s="35" t="n"/>
    </row>
    <row r="18" ht="15" customHeight="1">
      <c r="A18" s="26" t="n"/>
      <c r="B18" s="27" t="n"/>
      <c r="C18" s="27" t="n"/>
      <c r="D18" s="27" t="n"/>
      <c r="E18" s="27" t="n"/>
      <c r="F18" s="28" t="n"/>
      <c r="G18" s="27" t="n"/>
      <c r="H18" s="29" t="str">
        <f>IF(OR(F18="",G18=""),"",IF(G18=0,F18,WORKDAY(F18,G18-1)))</f>
        <v/>
      </c>
      <c r="I18" s="27" t="n"/>
      <c r="J18" s="30" t="n"/>
      <c r="K18" s="27" t="n"/>
      <c r="L18" s="28" t="n"/>
      <c r="M18" s="28" t="n"/>
      <c r="N18" s="31" t="str">
        <f>IF(OR(H18="",M18=""),"",H18-M18)</f>
        <v/>
      </c>
      <c r="O18" s="32" t="str">
        <f>IF(OR(F18="",H18=""),"",IF(StatusDate&lt;F18,0,IF(StatusDate&gt;=H18,1,NETWORKDAYS(F18,StatusDate)/MAX(1,G18))))</f>
        <v/>
      </c>
      <c r="P18" s="33" t="str">
        <f>IF(B18="","",IF(AND(K18&lt;&gt;"Complete",H18&lt;&gt;"",H18&lt;StatusDate),"Overdue",IF(K18="Blocked","Blocked",IF(AND(O18&lt;&gt;"",K18&lt;&gt;"Complete",N(J18)&lt;O18-0.2),"Behind",""))))</f>
        <v/>
      </c>
      <c r="Q18" s="32" t="str">
        <f>IF(B18="","",IF(K18="Complete",1,N(J18)))</f>
        <v/>
      </c>
      <c r="R18" s="34" t="str">
        <f>IF(AND(B18&lt;&gt;"",G18=0,H18&lt;&gt;""),IF(K18&lt;&gt;"Complete",1,-1)*(H18+ROW()/100000),"")</f>
        <v/>
      </c>
      <c r="S18" s="33">
        <f>IF(OR(B18="",G18=""),0,IF(COUNTIF($A$5:$A$154,A18&amp;".*")&gt;0,0,G18))</f>
        <v>0</v>
      </c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  <c r="BC18" s="35" t="n"/>
      <c r="BD18" s="35" t="n"/>
      <c r="BE18" s="35" t="n"/>
      <c r="BF18" s="35" t="n"/>
      <c r="BG18" s="35" t="n"/>
      <c r="BH18" s="35" t="n"/>
    </row>
    <row r="19" ht="15" customHeight="1">
      <c r="A19" s="26" t="n"/>
      <c r="B19" s="27" t="n"/>
      <c r="C19" s="27" t="n"/>
      <c r="D19" s="27" t="n"/>
      <c r="E19" s="27" t="n"/>
      <c r="F19" s="28" t="n"/>
      <c r="G19" s="27" t="n"/>
      <c r="H19" s="29" t="str">
        <f>IF(OR(F19="",G19=""),"",IF(G19=0,F19,WORKDAY(F19,G19-1)))</f>
        <v/>
      </c>
      <c r="I19" s="27" t="n"/>
      <c r="J19" s="30" t="n"/>
      <c r="K19" s="27" t="n"/>
      <c r="L19" s="28" t="n"/>
      <c r="M19" s="28" t="n"/>
      <c r="N19" s="31" t="str">
        <f>IF(OR(H19="",M19=""),"",H19-M19)</f>
        <v/>
      </c>
      <c r="O19" s="32" t="str">
        <f>IF(OR(F19="",H19=""),"",IF(StatusDate&lt;F19,0,IF(StatusDate&gt;=H19,1,NETWORKDAYS(F19,StatusDate)/MAX(1,G19))))</f>
        <v/>
      </c>
      <c r="P19" s="33" t="str">
        <f>IF(B19="","",IF(AND(K19&lt;&gt;"Complete",H19&lt;&gt;"",H19&lt;StatusDate),"Overdue",IF(K19="Blocked","Blocked",IF(AND(O19&lt;&gt;"",K19&lt;&gt;"Complete",N(J19)&lt;O19-0.2),"Behind",""))))</f>
        <v/>
      </c>
      <c r="Q19" s="32" t="str">
        <f>IF(B19="","",IF(K19="Complete",1,N(J19)))</f>
        <v/>
      </c>
      <c r="R19" s="34" t="str">
        <f>IF(AND(B19&lt;&gt;"",G19=0,H19&lt;&gt;""),IF(K19&lt;&gt;"Complete",1,-1)*(H19+ROW()/100000),"")</f>
        <v/>
      </c>
      <c r="S19" s="33">
        <f>IF(OR(B19="",G19=""),0,IF(COUNTIF($A$5:$A$154,A19&amp;".*")&gt;0,0,G19))</f>
        <v>0</v>
      </c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  <c r="BC19" s="35" t="n"/>
      <c r="BD19" s="35" t="n"/>
      <c r="BE19" s="35" t="n"/>
      <c r="BF19" s="35" t="n"/>
      <c r="BG19" s="35" t="n"/>
      <c r="BH19" s="35" t="n"/>
    </row>
    <row r="20" ht="15" customHeight="1">
      <c r="A20" s="26" t="n"/>
      <c r="B20" s="27" t="n"/>
      <c r="C20" s="27" t="n"/>
      <c r="D20" s="27" t="n"/>
      <c r="E20" s="27" t="n"/>
      <c r="F20" s="28" t="n"/>
      <c r="G20" s="27" t="n"/>
      <c r="H20" s="29" t="str">
        <f>IF(OR(F20="",G20=""),"",IF(G20=0,F20,WORKDAY(F20,G20-1)))</f>
        <v/>
      </c>
      <c r="I20" s="27" t="n"/>
      <c r="J20" s="30" t="n"/>
      <c r="K20" s="27" t="n"/>
      <c r="L20" s="28" t="n"/>
      <c r="M20" s="28" t="n"/>
      <c r="N20" s="31" t="str">
        <f>IF(OR(H20="",M20=""),"",H20-M20)</f>
        <v/>
      </c>
      <c r="O20" s="32" t="str">
        <f>IF(OR(F20="",H20=""),"",IF(StatusDate&lt;F20,0,IF(StatusDate&gt;=H20,1,NETWORKDAYS(F20,StatusDate)/MAX(1,G20))))</f>
        <v/>
      </c>
      <c r="P20" s="33" t="str">
        <f>IF(B20="","",IF(AND(K20&lt;&gt;"Complete",H20&lt;&gt;"",H20&lt;StatusDate),"Overdue",IF(K20="Blocked","Blocked",IF(AND(O20&lt;&gt;"",K20&lt;&gt;"Complete",N(J20)&lt;O20-0.2),"Behind",""))))</f>
        <v/>
      </c>
      <c r="Q20" s="32" t="str">
        <f>IF(B20="","",IF(K20="Complete",1,N(J20)))</f>
        <v/>
      </c>
      <c r="R20" s="34" t="str">
        <f>IF(AND(B20&lt;&gt;"",G20=0,H20&lt;&gt;""),IF(K20&lt;&gt;"Complete",1,-1)*(H20+ROW()/100000),"")</f>
        <v/>
      </c>
      <c r="S20" s="33">
        <f>IF(OR(B20="",G20=""),0,IF(COUNTIF($A$5:$A$154,A20&amp;".*")&gt;0,0,G20))</f>
        <v>0</v>
      </c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  <c r="BD20" s="35" t="n"/>
      <c r="BE20" s="35" t="n"/>
      <c r="BF20" s="35" t="n"/>
      <c r="BG20" s="35" t="n"/>
      <c r="BH20" s="35" t="n"/>
    </row>
    <row r="21" ht="15" customHeight="1">
      <c r="A21" s="26" t="n"/>
      <c r="B21" s="27" t="n"/>
      <c r="C21" s="27" t="n"/>
      <c r="D21" s="27" t="n"/>
      <c r="E21" s="27" t="n"/>
      <c r="F21" s="28" t="n"/>
      <c r="G21" s="27" t="n"/>
      <c r="H21" s="29" t="str">
        <f>IF(OR(F21="",G21=""),"",IF(G21=0,F21,WORKDAY(F21,G21-1)))</f>
        <v/>
      </c>
      <c r="I21" s="27" t="n"/>
      <c r="J21" s="30" t="n"/>
      <c r="K21" s="27" t="n"/>
      <c r="L21" s="28" t="n"/>
      <c r="M21" s="28" t="n"/>
      <c r="N21" s="31" t="str">
        <f>IF(OR(H21="",M21=""),"",H21-M21)</f>
        <v/>
      </c>
      <c r="O21" s="32" t="str">
        <f>IF(OR(F21="",H21=""),"",IF(StatusDate&lt;F21,0,IF(StatusDate&gt;=H21,1,NETWORKDAYS(F21,StatusDate)/MAX(1,G21))))</f>
        <v/>
      </c>
      <c r="P21" s="33" t="str">
        <f>IF(B21="","",IF(AND(K21&lt;&gt;"Complete",H21&lt;&gt;"",H21&lt;StatusDate),"Overdue",IF(K21="Blocked","Blocked",IF(AND(O21&lt;&gt;"",K21&lt;&gt;"Complete",N(J21)&lt;O21-0.2),"Behind",""))))</f>
        <v/>
      </c>
      <c r="Q21" s="32" t="str">
        <f>IF(B21="","",IF(K21="Complete",1,N(J21)))</f>
        <v/>
      </c>
      <c r="R21" s="34" t="str">
        <f>IF(AND(B21&lt;&gt;"",G21=0,H21&lt;&gt;""),IF(K21&lt;&gt;"Complete",1,-1)*(H21+ROW()/100000),"")</f>
        <v/>
      </c>
      <c r="S21" s="33">
        <f>IF(OR(B21="",G21=""),0,IF(COUNTIF($A$5:$A$154,A21&amp;".*")&gt;0,0,G21))</f>
        <v>0</v>
      </c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  <c r="BC21" s="35" t="n"/>
      <c r="BD21" s="35" t="n"/>
      <c r="BE21" s="35" t="n"/>
      <c r="BF21" s="35" t="n"/>
      <c r="BG21" s="35" t="n"/>
      <c r="BH21" s="35" t="n"/>
    </row>
    <row r="22" ht="15" customHeight="1">
      <c r="A22" s="26" t="n"/>
      <c r="B22" s="27" t="n"/>
      <c r="C22" s="27" t="n"/>
      <c r="D22" s="27" t="n"/>
      <c r="E22" s="27" t="n"/>
      <c r="F22" s="28" t="n"/>
      <c r="G22" s="27" t="n"/>
      <c r="H22" s="29" t="str">
        <f>IF(OR(F22="",G22=""),"",IF(G22=0,F22,WORKDAY(F22,G22-1)))</f>
        <v/>
      </c>
      <c r="I22" s="27" t="n"/>
      <c r="J22" s="30" t="n"/>
      <c r="K22" s="27" t="n"/>
      <c r="L22" s="28" t="n"/>
      <c r="M22" s="28" t="n"/>
      <c r="N22" s="31" t="str">
        <f>IF(OR(H22="",M22=""),"",H22-M22)</f>
        <v/>
      </c>
      <c r="O22" s="32" t="str">
        <f>IF(OR(F22="",H22=""),"",IF(StatusDate&lt;F22,0,IF(StatusDate&gt;=H22,1,NETWORKDAYS(F22,StatusDate)/MAX(1,G22))))</f>
        <v/>
      </c>
      <c r="P22" s="33" t="str">
        <f>IF(B22="","",IF(AND(K22&lt;&gt;"Complete",H22&lt;&gt;"",H22&lt;StatusDate),"Overdue",IF(K22="Blocked","Blocked",IF(AND(O22&lt;&gt;"",K22&lt;&gt;"Complete",N(J22)&lt;O22-0.2),"Behind",""))))</f>
        <v/>
      </c>
      <c r="Q22" s="32" t="str">
        <f>IF(B22="","",IF(K22="Complete",1,N(J22)))</f>
        <v/>
      </c>
      <c r="R22" s="34" t="str">
        <f>IF(AND(B22&lt;&gt;"",G22=0,H22&lt;&gt;""),IF(K22&lt;&gt;"Complete",1,-1)*(H22+ROW()/100000),"")</f>
        <v/>
      </c>
      <c r="S22" s="33">
        <f>IF(OR(B22="",G22=""),0,IF(COUNTIF($A$5:$A$154,A22&amp;".*")&gt;0,0,G22))</f>
        <v>0</v>
      </c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  <c r="BC22" s="35" t="n"/>
      <c r="BD22" s="35" t="n"/>
      <c r="BE22" s="35" t="n"/>
      <c r="BF22" s="35" t="n"/>
      <c r="BG22" s="35" t="n"/>
      <c r="BH22" s="35" t="n"/>
    </row>
    <row r="23" ht="15" customHeight="1">
      <c r="A23" s="26" t="n"/>
      <c r="B23" s="27" t="n"/>
      <c r="C23" s="27" t="n"/>
      <c r="D23" s="27" t="n"/>
      <c r="E23" s="27" t="n"/>
      <c r="F23" s="28" t="n"/>
      <c r="G23" s="27" t="n"/>
      <c r="H23" s="29" t="str">
        <f>IF(OR(F23="",G23=""),"",IF(G23=0,F23,WORKDAY(F23,G23-1)))</f>
        <v/>
      </c>
      <c r="I23" s="27" t="n"/>
      <c r="J23" s="30" t="n"/>
      <c r="K23" s="27" t="n"/>
      <c r="L23" s="28" t="n"/>
      <c r="M23" s="28" t="n"/>
      <c r="N23" s="31" t="str">
        <f>IF(OR(H23="",M23=""),"",H23-M23)</f>
        <v/>
      </c>
      <c r="O23" s="32" t="str">
        <f>IF(OR(F23="",H23=""),"",IF(StatusDate&lt;F23,0,IF(StatusDate&gt;=H23,1,NETWORKDAYS(F23,StatusDate)/MAX(1,G23))))</f>
        <v/>
      </c>
      <c r="P23" s="33" t="str">
        <f>IF(B23="","",IF(AND(K23&lt;&gt;"Complete",H23&lt;&gt;"",H23&lt;StatusDate),"Overdue",IF(K23="Blocked","Blocked",IF(AND(O23&lt;&gt;"",K23&lt;&gt;"Complete",N(J23)&lt;O23-0.2),"Behind",""))))</f>
        <v/>
      </c>
      <c r="Q23" s="32" t="str">
        <f>IF(B23="","",IF(K23="Complete",1,N(J23)))</f>
        <v/>
      </c>
      <c r="R23" s="34" t="str">
        <f>IF(AND(B23&lt;&gt;"",G23=0,H23&lt;&gt;""),IF(K23&lt;&gt;"Complete",1,-1)*(H23+ROW()/100000),"")</f>
        <v/>
      </c>
      <c r="S23" s="33">
        <f>IF(OR(B23="",G23=""),0,IF(COUNTIF($A$5:$A$154,A23&amp;".*")&gt;0,0,G23))</f>
        <v>0</v>
      </c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  <c r="BC23" s="35" t="n"/>
      <c r="BD23" s="35" t="n"/>
      <c r="BE23" s="35" t="n"/>
      <c r="BF23" s="35" t="n"/>
      <c r="BG23" s="35" t="n"/>
      <c r="BH23" s="35" t="n"/>
    </row>
    <row r="24" ht="15" customHeight="1">
      <c r="A24" s="26" t="n"/>
      <c r="B24" s="27" t="n"/>
      <c r="C24" s="27" t="n"/>
      <c r="D24" s="27" t="n"/>
      <c r="E24" s="27" t="n"/>
      <c r="F24" s="28" t="n"/>
      <c r="G24" s="27" t="n"/>
      <c r="H24" s="29" t="str">
        <f>IF(OR(F24="",G24=""),"",IF(G24=0,F24,WORKDAY(F24,G24-1)))</f>
        <v/>
      </c>
      <c r="I24" s="27" t="n"/>
      <c r="J24" s="30" t="n"/>
      <c r="K24" s="27" t="n"/>
      <c r="L24" s="28" t="n"/>
      <c r="M24" s="28" t="n"/>
      <c r="N24" s="31" t="str">
        <f>IF(OR(H24="",M24=""),"",H24-M24)</f>
        <v/>
      </c>
      <c r="O24" s="32" t="str">
        <f>IF(OR(F24="",H24=""),"",IF(StatusDate&lt;F24,0,IF(StatusDate&gt;=H24,1,NETWORKDAYS(F24,StatusDate)/MAX(1,G24))))</f>
        <v/>
      </c>
      <c r="P24" s="33" t="str">
        <f>IF(B24="","",IF(AND(K24&lt;&gt;"Complete",H24&lt;&gt;"",H24&lt;StatusDate),"Overdue",IF(K24="Blocked","Blocked",IF(AND(O24&lt;&gt;"",K24&lt;&gt;"Complete",N(J24)&lt;O24-0.2),"Behind",""))))</f>
        <v/>
      </c>
      <c r="Q24" s="32" t="str">
        <f>IF(B24="","",IF(K24="Complete",1,N(J24)))</f>
        <v/>
      </c>
      <c r="R24" s="34" t="str">
        <f>IF(AND(B24&lt;&gt;"",G24=0,H24&lt;&gt;""),IF(K24&lt;&gt;"Complete",1,-1)*(H24+ROW()/100000),"")</f>
        <v/>
      </c>
      <c r="S24" s="33">
        <f>IF(OR(B24="",G24=""),0,IF(COUNTIF($A$5:$A$154,A24&amp;".*")&gt;0,0,G24))</f>
        <v>0</v>
      </c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</row>
    <row r="25" ht="15" customHeight="1">
      <c r="A25" s="26" t="n"/>
      <c r="B25" s="27" t="n"/>
      <c r="C25" s="27" t="n"/>
      <c r="D25" s="27" t="n"/>
      <c r="E25" s="27" t="n"/>
      <c r="F25" s="28" t="n"/>
      <c r="G25" s="27" t="n"/>
      <c r="H25" s="29" t="str">
        <f>IF(OR(F25="",G25=""),"",IF(G25=0,F25,WORKDAY(F25,G25-1)))</f>
        <v/>
      </c>
      <c r="I25" s="27" t="n"/>
      <c r="J25" s="30" t="n"/>
      <c r="K25" s="27" t="n"/>
      <c r="L25" s="28" t="n"/>
      <c r="M25" s="28" t="n"/>
      <c r="N25" s="31" t="str">
        <f>IF(OR(H25="",M25=""),"",H25-M25)</f>
        <v/>
      </c>
      <c r="O25" s="32" t="str">
        <f>IF(OR(F25="",H25=""),"",IF(StatusDate&lt;F25,0,IF(StatusDate&gt;=H25,1,NETWORKDAYS(F25,StatusDate)/MAX(1,G25))))</f>
        <v/>
      </c>
      <c r="P25" s="33" t="str">
        <f>IF(B25="","",IF(AND(K25&lt;&gt;"Complete",H25&lt;&gt;"",H25&lt;StatusDate),"Overdue",IF(K25="Blocked","Blocked",IF(AND(O25&lt;&gt;"",K25&lt;&gt;"Complete",N(J25)&lt;O25-0.2),"Behind",""))))</f>
        <v/>
      </c>
      <c r="Q25" s="32" t="str">
        <f>IF(B25="","",IF(K25="Complete",1,N(J25)))</f>
        <v/>
      </c>
      <c r="R25" s="34" t="str">
        <f>IF(AND(B25&lt;&gt;"",G25=0,H25&lt;&gt;""),IF(K25&lt;&gt;"Complete",1,-1)*(H25+ROW()/100000),"")</f>
        <v/>
      </c>
      <c r="S25" s="33">
        <f>IF(OR(B25="",G25=""),0,IF(COUNTIF($A$5:$A$154,A25&amp;".*")&gt;0,0,G25))</f>
        <v>0</v>
      </c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5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  <c r="BA25" s="35" t="n"/>
      <c r="BB25" s="35" t="n"/>
      <c r="BC25" s="35" t="n"/>
      <c r="BD25" s="35" t="n"/>
      <c r="BE25" s="35" t="n"/>
      <c r="BF25" s="35" t="n"/>
      <c r="BG25" s="35" t="n"/>
      <c r="BH25" s="35" t="n"/>
    </row>
    <row r="26" ht="15" customHeight="1">
      <c r="A26" s="26" t="n"/>
      <c r="B26" s="27" t="n"/>
      <c r="C26" s="27" t="n"/>
      <c r="D26" s="27" t="n"/>
      <c r="E26" s="27" t="n"/>
      <c r="F26" s="28" t="n"/>
      <c r="G26" s="27" t="n"/>
      <c r="H26" s="29" t="str">
        <f>IF(OR(F26="",G26=""),"",IF(G26=0,F26,WORKDAY(F26,G26-1)))</f>
        <v/>
      </c>
      <c r="I26" s="27" t="n"/>
      <c r="J26" s="30" t="n"/>
      <c r="K26" s="27" t="n"/>
      <c r="L26" s="28" t="n"/>
      <c r="M26" s="28" t="n"/>
      <c r="N26" s="31" t="str">
        <f>IF(OR(H26="",M26=""),"",H26-M26)</f>
        <v/>
      </c>
      <c r="O26" s="32" t="str">
        <f>IF(OR(F26="",H26=""),"",IF(StatusDate&lt;F26,0,IF(StatusDate&gt;=H26,1,NETWORKDAYS(F26,StatusDate)/MAX(1,G26))))</f>
        <v/>
      </c>
      <c r="P26" s="33" t="str">
        <f>IF(B26="","",IF(AND(K26&lt;&gt;"Complete",H26&lt;&gt;"",H26&lt;StatusDate),"Overdue",IF(K26="Blocked","Blocked",IF(AND(O26&lt;&gt;"",K26&lt;&gt;"Complete",N(J26)&lt;O26-0.2),"Behind",""))))</f>
        <v/>
      </c>
      <c r="Q26" s="32" t="str">
        <f>IF(B26="","",IF(K26="Complete",1,N(J26)))</f>
        <v/>
      </c>
      <c r="R26" s="34" t="str">
        <f>IF(AND(B26&lt;&gt;"",G26=0,H26&lt;&gt;""),IF(K26&lt;&gt;"Complete",1,-1)*(H26+ROW()/100000),"")</f>
        <v/>
      </c>
      <c r="S26" s="33">
        <f>IF(OR(B26="",G26=""),0,IF(COUNTIF($A$5:$A$154,A26&amp;".*")&gt;0,0,G26))</f>
        <v>0</v>
      </c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  <c r="AG26" s="35" t="n"/>
      <c r="AH26" s="35" t="n"/>
      <c r="AI26" s="35" t="n"/>
      <c r="AJ26" s="35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  <c r="BA26" s="35" t="n"/>
      <c r="BB26" s="35" t="n"/>
      <c r="BC26" s="35" t="n"/>
      <c r="BD26" s="35" t="n"/>
      <c r="BE26" s="35" t="n"/>
      <c r="BF26" s="35" t="n"/>
      <c r="BG26" s="35" t="n"/>
      <c r="BH26" s="35" t="n"/>
    </row>
    <row r="27" ht="15" customHeight="1">
      <c r="A27" s="26" t="n"/>
      <c r="B27" s="27" t="n"/>
      <c r="C27" s="27" t="n"/>
      <c r="D27" s="27" t="n"/>
      <c r="E27" s="27" t="n"/>
      <c r="F27" s="28" t="n"/>
      <c r="G27" s="27" t="n"/>
      <c r="H27" s="29" t="str">
        <f>IF(OR(F27="",G27=""),"",IF(G27=0,F27,WORKDAY(F27,G27-1)))</f>
        <v/>
      </c>
      <c r="I27" s="27" t="n"/>
      <c r="J27" s="30" t="n"/>
      <c r="K27" s="27" t="n"/>
      <c r="L27" s="28" t="n"/>
      <c r="M27" s="28" t="n"/>
      <c r="N27" s="31" t="str">
        <f>IF(OR(H27="",M27=""),"",H27-M27)</f>
        <v/>
      </c>
      <c r="O27" s="32" t="str">
        <f>IF(OR(F27="",H27=""),"",IF(StatusDate&lt;F27,0,IF(StatusDate&gt;=H27,1,NETWORKDAYS(F27,StatusDate)/MAX(1,G27))))</f>
        <v/>
      </c>
      <c r="P27" s="33" t="str">
        <f>IF(B27="","",IF(AND(K27&lt;&gt;"Complete",H27&lt;&gt;"",H27&lt;StatusDate),"Overdue",IF(K27="Blocked","Blocked",IF(AND(O27&lt;&gt;"",K27&lt;&gt;"Complete",N(J27)&lt;O27-0.2),"Behind",""))))</f>
        <v/>
      </c>
      <c r="Q27" s="32" t="str">
        <f>IF(B27="","",IF(K27="Complete",1,N(J27)))</f>
        <v/>
      </c>
      <c r="R27" s="34" t="str">
        <f>IF(AND(B27&lt;&gt;"",G27=0,H27&lt;&gt;""),IF(K27&lt;&gt;"Complete",1,-1)*(H27+ROW()/100000),"")</f>
        <v/>
      </c>
      <c r="S27" s="33">
        <f>IF(OR(B27="",G27=""),0,IF(COUNTIF($A$5:$A$154,A27&amp;".*")&gt;0,0,G27))</f>
        <v>0</v>
      </c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  <c r="BA27" s="35" t="n"/>
      <c r="BB27" s="35" t="n"/>
      <c r="BC27" s="35" t="n"/>
      <c r="BD27" s="35" t="n"/>
      <c r="BE27" s="35" t="n"/>
      <c r="BF27" s="35" t="n"/>
      <c r="BG27" s="35" t="n"/>
      <c r="BH27" s="35" t="n"/>
    </row>
    <row r="28" ht="15" customHeight="1">
      <c r="A28" s="26" t="n"/>
      <c r="B28" s="27" t="n"/>
      <c r="C28" s="27" t="n"/>
      <c r="D28" s="27" t="n"/>
      <c r="E28" s="27" t="n"/>
      <c r="F28" s="28" t="n"/>
      <c r="G28" s="27" t="n"/>
      <c r="H28" s="29" t="str">
        <f>IF(OR(F28="",G28=""),"",IF(G28=0,F28,WORKDAY(F28,G28-1)))</f>
        <v/>
      </c>
      <c r="I28" s="27" t="n"/>
      <c r="J28" s="30" t="n"/>
      <c r="K28" s="27" t="n"/>
      <c r="L28" s="28" t="n"/>
      <c r="M28" s="28" t="n"/>
      <c r="N28" s="31" t="str">
        <f>IF(OR(H28="",M28=""),"",H28-M28)</f>
        <v/>
      </c>
      <c r="O28" s="32" t="str">
        <f>IF(OR(F28="",H28=""),"",IF(StatusDate&lt;F28,0,IF(StatusDate&gt;=H28,1,NETWORKDAYS(F28,StatusDate)/MAX(1,G28))))</f>
        <v/>
      </c>
      <c r="P28" s="33" t="str">
        <f>IF(B28="","",IF(AND(K28&lt;&gt;"Complete",H28&lt;&gt;"",H28&lt;StatusDate),"Overdue",IF(K28="Blocked","Blocked",IF(AND(O28&lt;&gt;"",K28&lt;&gt;"Complete",N(J28)&lt;O28-0.2),"Behind",""))))</f>
        <v/>
      </c>
      <c r="Q28" s="32" t="str">
        <f>IF(B28="","",IF(K28="Complete",1,N(J28)))</f>
        <v/>
      </c>
      <c r="R28" s="34" t="str">
        <f>IF(AND(B28&lt;&gt;"",G28=0,H28&lt;&gt;""),IF(K28&lt;&gt;"Complete",1,-1)*(H28+ROW()/100000),"")</f>
        <v/>
      </c>
      <c r="S28" s="33">
        <f>IF(OR(B28="",G28=""),0,IF(COUNTIF($A$5:$A$154,A28&amp;".*")&gt;0,0,G28))</f>
        <v>0</v>
      </c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5" t="n"/>
      <c r="AH28" s="35" t="n"/>
      <c r="AI28" s="35" t="n"/>
      <c r="AJ28" s="35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  <c r="BA28" s="35" t="n"/>
      <c r="BB28" s="35" t="n"/>
      <c r="BC28" s="35" t="n"/>
      <c r="BD28" s="35" t="n"/>
      <c r="BE28" s="35" t="n"/>
      <c r="BF28" s="35" t="n"/>
      <c r="BG28" s="35" t="n"/>
      <c r="BH28" s="35" t="n"/>
    </row>
    <row r="29" ht="15" customHeight="1">
      <c r="A29" s="26" t="n"/>
      <c r="B29" s="27" t="n"/>
      <c r="C29" s="27" t="n"/>
      <c r="D29" s="27" t="n"/>
      <c r="E29" s="27" t="n"/>
      <c r="F29" s="28" t="n"/>
      <c r="G29" s="27" t="n"/>
      <c r="H29" s="29" t="str">
        <f>IF(OR(F29="",G29=""),"",IF(G29=0,F29,WORKDAY(F29,G29-1)))</f>
        <v/>
      </c>
      <c r="I29" s="27" t="n"/>
      <c r="J29" s="30" t="n"/>
      <c r="K29" s="27" t="n"/>
      <c r="L29" s="28" t="n"/>
      <c r="M29" s="28" t="n"/>
      <c r="N29" s="31" t="str">
        <f>IF(OR(H29="",M29=""),"",H29-M29)</f>
        <v/>
      </c>
      <c r="O29" s="32" t="str">
        <f>IF(OR(F29="",H29=""),"",IF(StatusDate&lt;F29,0,IF(StatusDate&gt;=H29,1,NETWORKDAYS(F29,StatusDate)/MAX(1,G29))))</f>
        <v/>
      </c>
      <c r="P29" s="33" t="str">
        <f>IF(B29="","",IF(AND(K29&lt;&gt;"Complete",H29&lt;&gt;"",H29&lt;StatusDate),"Overdue",IF(K29="Blocked","Blocked",IF(AND(O29&lt;&gt;"",K29&lt;&gt;"Complete",N(J29)&lt;O29-0.2),"Behind",""))))</f>
        <v/>
      </c>
      <c r="Q29" s="32" t="str">
        <f>IF(B29="","",IF(K29="Complete",1,N(J29)))</f>
        <v/>
      </c>
      <c r="R29" s="34" t="str">
        <f>IF(AND(B29&lt;&gt;"",G29=0,H29&lt;&gt;""),IF(K29&lt;&gt;"Complete",1,-1)*(H29+ROW()/100000),"")</f>
        <v/>
      </c>
      <c r="S29" s="33">
        <f>IF(OR(B29="",G29=""),0,IF(COUNTIF($A$5:$A$154,A29&amp;".*")&gt;0,0,G29))</f>
        <v>0</v>
      </c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5" t="n"/>
      <c r="AH29" s="35" t="n"/>
      <c r="AI29" s="35" t="n"/>
      <c r="AJ29" s="35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  <c r="BA29" s="35" t="n"/>
      <c r="BB29" s="35" t="n"/>
      <c r="BC29" s="35" t="n"/>
      <c r="BD29" s="35" t="n"/>
      <c r="BE29" s="35" t="n"/>
      <c r="BF29" s="35" t="n"/>
      <c r="BG29" s="35" t="n"/>
      <c r="BH29" s="35" t="n"/>
    </row>
    <row r="30" ht="15" customHeight="1">
      <c r="A30" s="26" t="n"/>
      <c r="B30" s="27" t="n"/>
      <c r="C30" s="27" t="n"/>
      <c r="D30" s="27" t="n"/>
      <c r="E30" s="27" t="n"/>
      <c r="F30" s="28" t="n"/>
      <c r="G30" s="27" t="n"/>
      <c r="H30" s="29" t="str">
        <f>IF(OR(F30="",G30=""),"",IF(G30=0,F30,WORKDAY(F30,G30-1)))</f>
        <v/>
      </c>
      <c r="I30" s="27" t="n"/>
      <c r="J30" s="30" t="n"/>
      <c r="K30" s="27" t="n"/>
      <c r="L30" s="28" t="n"/>
      <c r="M30" s="28" t="n"/>
      <c r="N30" s="31" t="str">
        <f>IF(OR(H30="",M30=""),"",H30-M30)</f>
        <v/>
      </c>
      <c r="O30" s="32" t="str">
        <f>IF(OR(F30="",H30=""),"",IF(StatusDate&lt;F30,0,IF(StatusDate&gt;=H30,1,NETWORKDAYS(F30,StatusDate)/MAX(1,G30))))</f>
        <v/>
      </c>
      <c r="P30" s="33" t="str">
        <f>IF(B30="","",IF(AND(K30&lt;&gt;"Complete",H30&lt;&gt;"",H30&lt;StatusDate),"Overdue",IF(K30="Blocked","Blocked",IF(AND(O30&lt;&gt;"",K30&lt;&gt;"Complete",N(J30)&lt;O30-0.2),"Behind",""))))</f>
        <v/>
      </c>
      <c r="Q30" s="32" t="str">
        <f>IF(B30="","",IF(K30="Complete",1,N(J30)))</f>
        <v/>
      </c>
      <c r="R30" s="34" t="str">
        <f>IF(AND(B30&lt;&gt;"",G30=0,H30&lt;&gt;""),IF(K30&lt;&gt;"Complete",1,-1)*(H30+ROW()/100000),"")</f>
        <v/>
      </c>
      <c r="S30" s="33">
        <f>IF(OR(B30="",G30=""),0,IF(COUNTIF($A$5:$A$154,A30&amp;".*")&gt;0,0,G30))</f>
        <v>0</v>
      </c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  <c r="BA30" s="35" t="n"/>
      <c r="BB30" s="35" t="n"/>
      <c r="BC30" s="35" t="n"/>
      <c r="BD30" s="35" t="n"/>
      <c r="BE30" s="35" t="n"/>
      <c r="BF30" s="35" t="n"/>
      <c r="BG30" s="35" t="n"/>
      <c r="BH30" s="35" t="n"/>
    </row>
    <row r="31" ht="15" customHeight="1">
      <c r="A31" s="26" t="n"/>
      <c r="B31" s="27" t="n"/>
      <c r="C31" s="27" t="n"/>
      <c r="D31" s="27" t="n"/>
      <c r="E31" s="27" t="n"/>
      <c r="F31" s="28" t="n"/>
      <c r="G31" s="27" t="n"/>
      <c r="H31" s="29" t="str">
        <f>IF(OR(F31="",G31=""),"",IF(G31=0,F31,WORKDAY(F31,G31-1)))</f>
        <v/>
      </c>
      <c r="I31" s="27" t="n"/>
      <c r="J31" s="30" t="n"/>
      <c r="K31" s="27" t="n"/>
      <c r="L31" s="28" t="n"/>
      <c r="M31" s="28" t="n"/>
      <c r="N31" s="31" t="str">
        <f>IF(OR(H31="",M31=""),"",H31-M31)</f>
        <v/>
      </c>
      <c r="O31" s="32" t="str">
        <f>IF(OR(F31="",H31=""),"",IF(StatusDate&lt;F31,0,IF(StatusDate&gt;=H31,1,NETWORKDAYS(F31,StatusDate)/MAX(1,G31))))</f>
        <v/>
      </c>
      <c r="P31" s="33" t="str">
        <f>IF(B31="","",IF(AND(K31&lt;&gt;"Complete",H31&lt;&gt;"",H31&lt;StatusDate),"Overdue",IF(K31="Blocked","Blocked",IF(AND(O31&lt;&gt;"",K31&lt;&gt;"Complete",N(J31)&lt;O31-0.2),"Behind",""))))</f>
        <v/>
      </c>
      <c r="Q31" s="32" t="str">
        <f>IF(B31="","",IF(K31="Complete",1,N(J31)))</f>
        <v/>
      </c>
      <c r="R31" s="34" t="str">
        <f>IF(AND(B31&lt;&gt;"",G31=0,H31&lt;&gt;""),IF(K31&lt;&gt;"Complete",1,-1)*(H31+ROW()/100000),"")</f>
        <v/>
      </c>
      <c r="S31" s="33">
        <f>IF(OR(B31="",G31=""),0,IF(COUNTIF($A$5:$A$154,A31&amp;".*")&gt;0,0,G31))</f>
        <v>0</v>
      </c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  <c r="BD31" s="35" t="n"/>
      <c r="BE31" s="35" t="n"/>
      <c r="BF31" s="35" t="n"/>
      <c r="BG31" s="35" t="n"/>
      <c r="BH31" s="35" t="n"/>
    </row>
    <row r="32" ht="15" customHeight="1">
      <c r="A32" s="26" t="n"/>
      <c r="B32" s="27" t="n"/>
      <c r="C32" s="27" t="n"/>
      <c r="D32" s="27" t="n"/>
      <c r="E32" s="27" t="n"/>
      <c r="F32" s="28" t="n"/>
      <c r="G32" s="27" t="n"/>
      <c r="H32" s="29" t="str">
        <f>IF(OR(F32="",G32=""),"",IF(G32=0,F32,WORKDAY(F32,G32-1)))</f>
        <v/>
      </c>
      <c r="I32" s="27" t="n"/>
      <c r="J32" s="30" t="n"/>
      <c r="K32" s="27" t="n"/>
      <c r="L32" s="28" t="n"/>
      <c r="M32" s="28" t="n"/>
      <c r="N32" s="31" t="str">
        <f>IF(OR(H32="",M32=""),"",H32-M32)</f>
        <v/>
      </c>
      <c r="O32" s="32" t="str">
        <f>IF(OR(F32="",H32=""),"",IF(StatusDate&lt;F32,0,IF(StatusDate&gt;=H32,1,NETWORKDAYS(F32,StatusDate)/MAX(1,G32))))</f>
        <v/>
      </c>
      <c r="P32" s="33" t="str">
        <f>IF(B32="","",IF(AND(K32&lt;&gt;"Complete",H32&lt;&gt;"",H32&lt;StatusDate),"Overdue",IF(K32="Blocked","Blocked",IF(AND(O32&lt;&gt;"",K32&lt;&gt;"Complete",N(J32)&lt;O32-0.2),"Behind",""))))</f>
        <v/>
      </c>
      <c r="Q32" s="32" t="str">
        <f>IF(B32="","",IF(K32="Complete",1,N(J32)))</f>
        <v/>
      </c>
      <c r="R32" s="34" t="str">
        <f>IF(AND(B32&lt;&gt;"",G32=0,H32&lt;&gt;""),IF(K32&lt;&gt;"Complete",1,-1)*(H32+ROW()/100000),"")</f>
        <v/>
      </c>
      <c r="S32" s="33">
        <f>IF(OR(B32="",G32=""),0,IF(COUNTIF($A$5:$A$154,A32&amp;".*")&gt;0,0,G32))</f>
        <v>0</v>
      </c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</row>
    <row r="33" ht="15" customHeight="1">
      <c r="A33" s="26" t="n"/>
      <c r="B33" s="27" t="n"/>
      <c r="C33" s="27" t="n"/>
      <c r="D33" s="27" t="n"/>
      <c r="E33" s="27" t="n"/>
      <c r="F33" s="28" t="n"/>
      <c r="G33" s="27" t="n"/>
      <c r="H33" s="29" t="str">
        <f>IF(OR(F33="",G33=""),"",IF(G33=0,F33,WORKDAY(F33,G33-1)))</f>
        <v/>
      </c>
      <c r="I33" s="27" t="n"/>
      <c r="J33" s="30" t="n"/>
      <c r="K33" s="27" t="n"/>
      <c r="L33" s="28" t="n"/>
      <c r="M33" s="28" t="n"/>
      <c r="N33" s="31" t="str">
        <f>IF(OR(H33="",M33=""),"",H33-M33)</f>
        <v/>
      </c>
      <c r="O33" s="32" t="str">
        <f>IF(OR(F33="",H33=""),"",IF(StatusDate&lt;F33,0,IF(StatusDate&gt;=H33,1,NETWORKDAYS(F33,StatusDate)/MAX(1,G33))))</f>
        <v/>
      </c>
      <c r="P33" s="33" t="str">
        <f>IF(B33="","",IF(AND(K33&lt;&gt;"Complete",H33&lt;&gt;"",H33&lt;StatusDate),"Overdue",IF(K33="Blocked","Blocked",IF(AND(O33&lt;&gt;"",K33&lt;&gt;"Complete",N(J33)&lt;O33-0.2),"Behind",""))))</f>
        <v/>
      </c>
      <c r="Q33" s="32" t="str">
        <f>IF(B33="","",IF(K33="Complete",1,N(J33)))</f>
        <v/>
      </c>
      <c r="R33" s="34" t="str">
        <f>IF(AND(B33&lt;&gt;"",G33=0,H33&lt;&gt;""),IF(K33&lt;&gt;"Complete",1,-1)*(H33+ROW()/100000),"")</f>
        <v/>
      </c>
      <c r="S33" s="33">
        <f>IF(OR(B33="",G33=""),0,IF(COUNTIF($A$5:$A$154,A33&amp;".*")&gt;0,0,G33))</f>
        <v>0</v>
      </c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  <c r="BD33" s="35" t="n"/>
      <c r="BE33" s="35" t="n"/>
      <c r="BF33" s="35" t="n"/>
      <c r="BG33" s="35" t="n"/>
      <c r="BH33" s="35" t="n"/>
    </row>
    <row r="34" ht="15" customHeight="1">
      <c r="A34" s="26" t="n"/>
      <c r="B34" s="27" t="n"/>
      <c r="C34" s="27" t="n"/>
      <c r="D34" s="27" t="n"/>
      <c r="E34" s="27" t="n"/>
      <c r="F34" s="28" t="n"/>
      <c r="G34" s="27" t="n"/>
      <c r="H34" s="29" t="str">
        <f>IF(OR(F34="",G34=""),"",IF(G34=0,F34,WORKDAY(F34,G34-1)))</f>
        <v/>
      </c>
      <c r="I34" s="27" t="n"/>
      <c r="J34" s="30" t="n"/>
      <c r="K34" s="27" t="n"/>
      <c r="L34" s="28" t="n"/>
      <c r="M34" s="28" t="n"/>
      <c r="N34" s="31" t="str">
        <f>IF(OR(H34="",M34=""),"",H34-M34)</f>
        <v/>
      </c>
      <c r="O34" s="32" t="str">
        <f>IF(OR(F34="",H34=""),"",IF(StatusDate&lt;F34,0,IF(StatusDate&gt;=H34,1,NETWORKDAYS(F34,StatusDate)/MAX(1,G34))))</f>
        <v/>
      </c>
      <c r="P34" s="33" t="str">
        <f>IF(B34="","",IF(AND(K34&lt;&gt;"Complete",H34&lt;&gt;"",H34&lt;StatusDate),"Overdue",IF(K34="Blocked","Blocked",IF(AND(O34&lt;&gt;"",K34&lt;&gt;"Complete",N(J34)&lt;O34-0.2),"Behind",""))))</f>
        <v/>
      </c>
      <c r="Q34" s="32" t="str">
        <f>IF(B34="","",IF(K34="Complete",1,N(J34)))</f>
        <v/>
      </c>
      <c r="R34" s="34" t="str">
        <f>IF(AND(B34&lt;&gt;"",G34=0,H34&lt;&gt;""),IF(K34&lt;&gt;"Complete",1,-1)*(H34+ROW()/100000),"")</f>
        <v/>
      </c>
      <c r="S34" s="33">
        <f>IF(OR(B34="",G34=""),0,IF(COUNTIF($A$5:$A$154,A34&amp;".*")&gt;0,0,G34))</f>
        <v>0</v>
      </c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  <c r="BA34" s="35" t="n"/>
      <c r="BB34" s="35" t="n"/>
      <c r="BC34" s="35" t="n"/>
      <c r="BD34" s="35" t="n"/>
      <c r="BE34" s="35" t="n"/>
      <c r="BF34" s="35" t="n"/>
      <c r="BG34" s="35" t="n"/>
      <c r="BH34" s="35" t="n"/>
    </row>
    <row r="35" ht="15" customHeight="1">
      <c r="A35" s="26" t="n"/>
      <c r="B35" s="27" t="n"/>
      <c r="C35" s="27" t="n"/>
      <c r="D35" s="27" t="n"/>
      <c r="E35" s="27" t="n"/>
      <c r="F35" s="28" t="n"/>
      <c r="G35" s="27" t="n"/>
      <c r="H35" s="29" t="str">
        <f>IF(OR(F35="",G35=""),"",IF(G35=0,F35,WORKDAY(F35,G35-1)))</f>
        <v/>
      </c>
      <c r="I35" s="27" t="n"/>
      <c r="J35" s="30" t="n"/>
      <c r="K35" s="27" t="n"/>
      <c r="L35" s="28" t="n"/>
      <c r="M35" s="28" t="n"/>
      <c r="N35" s="31" t="str">
        <f>IF(OR(H35="",M35=""),"",H35-M35)</f>
        <v/>
      </c>
      <c r="O35" s="32" t="str">
        <f>IF(OR(F35="",H35=""),"",IF(StatusDate&lt;F35,0,IF(StatusDate&gt;=H35,1,NETWORKDAYS(F35,StatusDate)/MAX(1,G35))))</f>
        <v/>
      </c>
      <c r="P35" s="33" t="str">
        <f>IF(B35="","",IF(AND(K35&lt;&gt;"Complete",H35&lt;&gt;"",H35&lt;StatusDate),"Overdue",IF(K35="Blocked","Blocked",IF(AND(O35&lt;&gt;"",K35&lt;&gt;"Complete",N(J35)&lt;O35-0.2),"Behind",""))))</f>
        <v/>
      </c>
      <c r="Q35" s="32" t="str">
        <f>IF(B35="","",IF(K35="Complete",1,N(J35)))</f>
        <v/>
      </c>
      <c r="R35" s="34" t="str">
        <f>IF(AND(B35&lt;&gt;"",G35=0,H35&lt;&gt;""),IF(K35&lt;&gt;"Complete",1,-1)*(H35+ROW()/100000),"")</f>
        <v/>
      </c>
      <c r="S35" s="33">
        <f>IF(OR(B35="",G35=""),0,IF(COUNTIF($A$5:$A$154,A35&amp;".*")&gt;0,0,G35))</f>
        <v>0</v>
      </c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</row>
    <row r="36" ht="15" customHeight="1">
      <c r="A36" s="26" t="n"/>
      <c r="B36" s="27" t="n"/>
      <c r="C36" s="27" t="n"/>
      <c r="D36" s="27" t="n"/>
      <c r="E36" s="27" t="n"/>
      <c r="F36" s="28" t="n"/>
      <c r="G36" s="27" t="n"/>
      <c r="H36" s="29" t="str">
        <f>IF(OR(F36="",G36=""),"",IF(G36=0,F36,WORKDAY(F36,G36-1)))</f>
        <v/>
      </c>
      <c r="I36" s="27" t="n"/>
      <c r="J36" s="30" t="n"/>
      <c r="K36" s="27" t="n"/>
      <c r="L36" s="28" t="n"/>
      <c r="M36" s="28" t="n"/>
      <c r="N36" s="31" t="str">
        <f>IF(OR(H36="",M36=""),"",H36-M36)</f>
        <v/>
      </c>
      <c r="O36" s="32" t="str">
        <f>IF(OR(F36="",H36=""),"",IF(StatusDate&lt;F36,0,IF(StatusDate&gt;=H36,1,NETWORKDAYS(F36,StatusDate)/MAX(1,G36))))</f>
        <v/>
      </c>
      <c r="P36" s="33" t="str">
        <f>IF(B36="","",IF(AND(K36&lt;&gt;"Complete",H36&lt;&gt;"",H36&lt;StatusDate),"Overdue",IF(K36="Blocked","Blocked",IF(AND(O36&lt;&gt;"",K36&lt;&gt;"Complete",N(J36)&lt;O36-0.2),"Behind",""))))</f>
        <v/>
      </c>
      <c r="Q36" s="32" t="str">
        <f>IF(B36="","",IF(K36="Complete",1,N(J36)))</f>
        <v/>
      </c>
      <c r="R36" s="34" t="str">
        <f>IF(AND(B36&lt;&gt;"",G36=0,H36&lt;&gt;""),IF(K36&lt;&gt;"Complete",1,-1)*(H36+ROW()/100000),"")</f>
        <v/>
      </c>
      <c r="S36" s="33">
        <f>IF(OR(B36="",G36=""),0,IF(COUNTIF($A$5:$A$154,A36&amp;".*")&gt;0,0,G36))</f>
        <v>0</v>
      </c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5" t="n"/>
      <c r="AZ36" s="35" t="n"/>
      <c r="BA36" s="35" t="n"/>
      <c r="BB36" s="35" t="n"/>
      <c r="BC36" s="35" t="n"/>
      <c r="BD36" s="35" t="n"/>
      <c r="BE36" s="35" t="n"/>
      <c r="BF36" s="35" t="n"/>
      <c r="BG36" s="35" t="n"/>
      <c r="BH36" s="35" t="n"/>
    </row>
    <row r="37" ht="15" customHeight="1">
      <c r="A37" s="26" t="n"/>
      <c r="B37" s="27" t="n"/>
      <c r="C37" s="27" t="n"/>
      <c r="D37" s="27" t="n"/>
      <c r="E37" s="27" t="n"/>
      <c r="F37" s="28" t="n"/>
      <c r="G37" s="27" t="n"/>
      <c r="H37" s="29" t="str">
        <f>IF(OR(F37="",G37=""),"",IF(G37=0,F37,WORKDAY(F37,G37-1)))</f>
        <v/>
      </c>
      <c r="I37" s="27" t="n"/>
      <c r="J37" s="30" t="n"/>
      <c r="K37" s="27" t="n"/>
      <c r="L37" s="28" t="n"/>
      <c r="M37" s="28" t="n"/>
      <c r="N37" s="31" t="str">
        <f>IF(OR(H37="",M37=""),"",H37-M37)</f>
        <v/>
      </c>
      <c r="O37" s="32" t="str">
        <f>IF(OR(F37="",H37=""),"",IF(StatusDate&lt;F37,0,IF(StatusDate&gt;=H37,1,NETWORKDAYS(F37,StatusDate)/MAX(1,G37))))</f>
        <v/>
      </c>
      <c r="P37" s="33" t="str">
        <f>IF(B37="","",IF(AND(K37&lt;&gt;"Complete",H37&lt;&gt;"",H37&lt;StatusDate),"Overdue",IF(K37="Blocked","Blocked",IF(AND(O37&lt;&gt;"",K37&lt;&gt;"Complete",N(J37)&lt;O37-0.2),"Behind",""))))</f>
        <v/>
      </c>
      <c r="Q37" s="32" t="str">
        <f>IF(B37="","",IF(K37="Complete",1,N(J37)))</f>
        <v/>
      </c>
      <c r="R37" s="34" t="str">
        <f>IF(AND(B37&lt;&gt;"",G37=0,H37&lt;&gt;""),IF(K37&lt;&gt;"Complete",1,-1)*(H37+ROW()/100000),"")</f>
        <v/>
      </c>
      <c r="S37" s="33">
        <f>IF(OR(B37="",G37=""),0,IF(COUNTIF($A$5:$A$154,A37&amp;".*")&gt;0,0,G37))</f>
        <v>0</v>
      </c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5" t="n"/>
      <c r="AZ37" s="35" t="n"/>
      <c r="BA37" s="35" t="n"/>
      <c r="BB37" s="35" t="n"/>
      <c r="BC37" s="35" t="n"/>
      <c r="BD37" s="35" t="n"/>
      <c r="BE37" s="35" t="n"/>
      <c r="BF37" s="35" t="n"/>
      <c r="BG37" s="35" t="n"/>
      <c r="BH37" s="35" t="n"/>
    </row>
    <row r="38" ht="15" customHeight="1">
      <c r="A38" s="26" t="n"/>
      <c r="B38" s="27" t="n"/>
      <c r="C38" s="27" t="n"/>
      <c r="D38" s="27" t="n"/>
      <c r="E38" s="27" t="n"/>
      <c r="F38" s="28" t="n"/>
      <c r="G38" s="27" t="n"/>
      <c r="H38" s="29" t="str">
        <f>IF(OR(F38="",G38=""),"",IF(G38=0,F38,WORKDAY(F38,G38-1)))</f>
        <v/>
      </c>
      <c r="I38" s="27" t="n"/>
      <c r="J38" s="30" t="n"/>
      <c r="K38" s="27" t="n"/>
      <c r="L38" s="28" t="n"/>
      <c r="M38" s="28" t="n"/>
      <c r="N38" s="31" t="str">
        <f>IF(OR(H38="",M38=""),"",H38-M38)</f>
        <v/>
      </c>
      <c r="O38" s="32" t="str">
        <f>IF(OR(F38="",H38=""),"",IF(StatusDate&lt;F38,0,IF(StatusDate&gt;=H38,1,NETWORKDAYS(F38,StatusDate)/MAX(1,G38))))</f>
        <v/>
      </c>
      <c r="P38" s="33" t="str">
        <f>IF(B38="","",IF(AND(K38&lt;&gt;"Complete",H38&lt;&gt;"",H38&lt;StatusDate),"Overdue",IF(K38="Blocked","Blocked",IF(AND(O38&lt;&gt;"",K38&lt;&gt;"Complete",N(J38)&lt;O38-0.2),"Behind",""))))</f>
        <v/>
      </c>
      <c r="Q38" s="32" t="str">
        <f>IF(B38="","",IF(K38="Complete",1,N(J38)))</f>
        <v/>
      </c>
      <c r="R38" s="34" t="str">
        <f>IF(AND(B38&lt;&gt;"",G38=0,H38&lt;&gt;""),IF(K38&lt;&gt;"Complete",1,-1)*(H38+ROW()/100000),"")</f>
        <v/>
      </c>
      <c r="S38" s="33">
        <f>IF(OR(B38="",G38=""),0,IF(COUNTIF($A$5:$A$154,A38&amp;".*")&gt;0,0,G38))</f>
        <v>0</v>
      </c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 t="n"/>
      <c r="AZ38" s="35" t="n"/>
      <c r="BA38" s="35" t="n"/>
      <c r="BB38" s="35" t="n"/>
      <c r="BC38" s="35" t="n"/>
      <c r="BD38" s="35" t="n"/>
      <c r="BE38" s="35" t="n"/>
      <c r="BF38" s="35" t="n"/>
      <c r="BG38" s="35" t="n"/>
      <c r="BH38" s="35" t="n"/>
    </row>
    <row r="39" ht="15" customHeight="1">
      <c r="A39" s="26" t="n"/>
      <c r="B39" s="27" t="n"/>
      <c r="C39" s="27" t="n"/>
      <c r="D39" s="27" t="n"/>
      <c r="E39" s="27" t="n"/>
      <c r="F39" s="28" t="n"/>
      <c r="G39" s="27" t="n"/>
      <c r="H39" s="29" t="str">
        <f>IF(OR(F39="",G39=""),"",IF(G39=0,F39,WORKDAY(F39,G39-1)))</f>
        <v/>
      </c>
      <c r="I39" s="27" t="n"/>
      <c r="J39" s="30" t="n"/>
      <c r="K39" s="27" t="n"/>
      <c r="L39" s="28" t="n"/>
      <c r="M39" s="28" t="n"/>
      <c r="N39" s="31" t="str">
        <f>IF(OR(H39="",M39=""),"",H39-M39)</f>
        <v/>
      </c>
      <c r="O39" s="32" t="str">
        <f>IF(OR(F39="",H39=""),"",IF(StatusDate&lt;F39,0,IF(StatusDate&gt;=H39,1,NETWORKDAYS(F39,StatusDate)/MAX(1,G39))))</f>
        <v/>
      </c>
      <c r="P39" s="33" t="str">
        <f>IF(B39="","",IF(AND(K39&lt;&gt;"Complete",H39&lt;&gt;"",H39&lt;StatusDate),"Overdue",IF(K39="Blocked","Blocked",IF(AND(O39&lt;&gt;"",K39&lt;&gt;"Complete",N(J39)&lt;O39-0.2),"Behind",""))))</f>
        <v/>
      </c>
      <c r="Q39" s="32" t="str">
        <f>IF(B39="","",IF(K39="Complete",1,N(J39)))</f>
        <v/>
      </c>
      <c r="R39" s="34" t="str">
        <f>IF(AND(B39&lt;&gt;"",G39=0,H39&lt;&gt;""),IF(K39&lt;&gt;"Complete",1,-1)*(H39+ROW()/100000),"")</f>
        <v/>
      </c>
      <c r="S39" s="33">
        <f>IF(OR(B39="",G39=""),0,IF(COUNTIF($A$5:$A$154,A39&amp;".*")&gt;0,0,G39))</f>
        <v>0</v>
      </c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5" t="n"/>
      <c r="AN39" s="35" t="n"/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 t="n"/>
      <c r="AZ39" s="35" t="n"/>
      <c r="BA39" s="35" t="n"/>
      <c r="BB39" s="35" t="n"/>
      <c r="BC39" s="35" t="n"/>
      <c r="BD39" s="35" t="n"/>
      <c r="BE39" s="35" t="n"/>
      <c r="BF39" s="35" t="n"/>
      <c r="BG39" s="35" t="n"/>
      <c r="BH39" s="35" t="n"/>
    </row>
    <row r="40" ht="15" customHeight="1">
      <c r="A40" s="26" t="n"/>
      <c r="B40" s="27" t="n"/>
      <c r="C40" s="27" t="n"/>
      <c r="D40" s="27" t="n"/>
      <c r="E40" s="27" t="n"/>
      <c r="F40" s="28" t="n"/>
      <c r="G40" s="27" t="n"/>
      <c r="H40" s="29" t="str">
        <f>IF(OR(F40="",G40=""),"",IF(G40=0,F40,WORKDAY(F40,G40-1)))</f>
        <v/>
      </c>
      <c r="I40" s="27" t="n"/>
      <c r="J40" s="30" t="n"/>
      <c r="K40" s="27" t="n"/>
      <c r="L40" s="28" t="n"/>
      <c r="M40" s="28" t="n"/>
      <c r="N40" s="31" t="str">
        <f>IF(OR(H40="",M40=""),"",H40-M40)</f>
        <v/>
      </c>
      <c r="O40" s="32" t="str">
        <f>IF(OR(F40="",H40=""),"",IF(StatusDate&lt;F40,0,IF(StatusDate&gt;=H40,1,NETWORKDAYS(F40,StatusDate)/MAX(1,G40))))</f>
        <v/>
      </c>
      <c r="P40" s="33" t="str">
        <f>IF(B40="","",IF(AND(K40&lt;&gt;"Complete",H40&lt;&gt;"",H40&lt;StatusDate),"Overdue",IF(K40="Blocked","Blocked",IF(AND(O40&lt;&gt;"",K40&lt;&gt;"Complete",N(J40)&lt;O40-0.2),"Behind",""))))</f>
        <v/>
      </c>
      <c r="Q40" s="32" t="str">
        <f>IF(B40="","",IF(K40="Complete",1,N(J40)))</f>
        <v/>
      </c>
      <c r="R40" s="34" t="str">
        <f>IF(AND(B40&lt;&gt;"",G40=0,H40&lt;&gt;""),IF(K40&lt;&gt;"Complete",1,-1)*(H40+ROW()/100000),"")</f>
        <v/>
      </c>
      <c r="S40" s="33">
        <f>IF(OR(B40="",G40=""),0,IF(COUNTIF($A$5:$A$154,A40&amp;".*")&gt;0,0,G40))</f>
        <v>0</v>
      </c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5" t="n"/>
      <c r="AN40" s="35" t="n"/>
      <c r="AO40" s="35" t="n"/>
      <c r="AP40" s="35" t="n"/>
      <c r="AQ40" s="35" t="n"/>
      <c r="AR40" s="35" t="n"/>
      <c r="AS40" s="35" t="n"/>
      <c r="AT40" s="35" t="n"/>
      <c r="AU40" s="35" t="n"/>
      <c r="AV40" s="35" t="n"/>
      <c r="AW40" s="35" t="n"/>
      <c r="AX40" s="35" t="n"/>
      <c r="AY40" s="35" t="n"/>
      <c r="AZ40" s="35" t="n"/>
      <c r="BA40" s="35" t="n"/>
      <c r="BB40" s="35" t="n"/>
      <c r="BC40" s="35" t="n"/>
      <c r="BD40" s="35" t="n"/>
      <c r="BE40" s="35" t="n"/>
      <c r="BF40" s="35" t="n"/>
      <c r="BG40" s="35" t="n"/>
      <c r="BH40" s="35" t="n"/>
    </row>
    <row r="41" ht="15" customHeight="1">
      <c r="A41" s="26" t="n"/>
      <c r="B41" s="27" t="n"/>
      <c r="C41" s="27" t="n"/>
      <c r="D41" s="27" t="n"/>
      <c r="E41" s="27" t="n"/>
      <c r="F41" s="28" t="n"/>
      <c r="G41" s="27" t="n"/>
      <c r="H41" s="29" t="str">
        <f>IF(OR(F41="",G41=""),"",IF(G41=0,F41,WORKDAY(F41,G41-1)))</f>
        <v/>
      </c>
      <c r="I41" s="27" t="n"/>
      <c r="J41" s="30" t="n"/>
      <c r="K41" s="27" t="n"/>
      <c r="L41" s="28" t="n"/>
      <c r="M41" s="28" t="n"/>
      <c r="N41" s="31" t="str">
        <f>IF(OR(H41="",M41=""),"",H41-M41)</f>
        <v/>
      </c>
      <c r="O41" s="32" t="str">
        <f>IF(OR(F41="",H41=""),"",IF(StatusDate&lt;F41,0,IF(StatusDate&gt;=H41,1,NETWORKDAYS(F41,StatusDate)/MAX(1,G41))))</f>
        <v/>
      </c>
      <c r="P41" s="33" t="str">
        <f>IF(B41="","",IF(AND(K41&lt;&gt;"Complete",H41&lt;&gt;"",H41&lt;StatusDate),"Overdue",IF(K41="Blocked","Blocked",IF(AND(O41&lt;&gt;"",K41&lt;&gt;"Complete",N(J41)&lt;O41-0.2),"Behind",""))))</f>
        <v/>
      </c>
      <c r="Q41" s="32" t="str">
        <f>IF(B41="","",IF(K41="Complete",1,N(J41)))</f>
        <v/>
      </c>
      <c r="R41" s="34" t="str">
        <f>IF(AND(B41&lt;&gt;"",G41=0,H41&lt;&gt;""),IF(K41&lt;&gt;"Complete",1,-1)*(H41+ROW()/100000),"")</f>
        <v/>
      </c>
      <c r="S41" s="33">
        <f>IF(OR(B41="",G41=""),0,IF(COUNTIF($A$5:$A$154,A41&amp;".*")&gt;0,0,G41))</f>
        <v>0</v>
      </c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</row>
    <row r="42" ht="15" customHeight="1">
      <c r="A42" s="26" t="n"/>
      <c r="B42" s="27" t="n"/>
      <c r="C42" s="27" t="n"/>
      <c r="D42" s="27" t="n"/>
      <c r="E42" s="27" t="n"/>
      <c r="F42" s="28" t="n"/>
      <c r="G42" s="27" t="n"/>
      <c r="H42" s="29" t="str">
        <f>IF(OR(F42="",G42=""),"",IF(G42=0,F42,WORKDAY(F42,G42-1)))</f>
        <v/>
      </c>
      <c r="I42" s="27" t="n"/>
      <c r="J42" s="30" t="n"/>
      <c r="K42" s="27" t="n"/>
      <c r="L42" s="28" t="n"/>
      <c r="M42" s="28" t="n"/>
      <c r="N42" s="31" t="str">
        <f>IF(OR(H42="",M42=""),"",H42-M42)</f>
        <v/>
      </c>
      <c r="O42" s="32" t="str">
        <f>IF(OR(F42="",H42=""),"",IF(StatusDate&lt;F42,0,IF(StatusDate&gt;=H42,1,NETWORKDAYS(F42,StatusDate)/MAX(1,G42))))</f>
        <v/>
      </c>
      <c r="P42" s="33" t="str">
        <f>IF(B42="","",IF(AND(K42&lt;&gt;"Complete",H42&lt;&gt;"",H42&lt;StatusDate),"Overdue",IF(K42="Blocked","Blocked",IF(AND(O42&lt;&gt;"",K42&lt;&gt;"Complete",N(J42)&lt;O42-0.2),"Behind",""))))</f>
        <v/>
      </c>
      <c r="Q42" s="32" t="str">
        <f>IF(B42="","",IF(K42="Complete",1,N(J42)))</f>
        <v/>
      </c>
      <c r="R42" s="34" t="str">
        <f>IF(AND(B42&lt;&gt;"",G42=0,H42&lt;&gt;""),IF(K42&lt;&gt;"Complete",1,-1)*(H42+ROW()/100000),"")</f>
        <v/>
      </c>
      <c r="S42" s="33">
        <f>IF(OR(B42="",G42=""),0,IF(COUNTIF($A$5:$A$154,A42&amp;".*")&gt;0,0,G42))</f>
        <v>0</v>
      </c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 t="n"/>
      <c r="AF42" s="35" t="n"/>
      <c r="AG42" s="35" t="n"/>
      <c r="AH42" s="35" t="n"/>
      <c r="AI42" s="35" t="n"/>
      <c r="AJ42" s="35" t="n"/>
      <c r="AK42" s="35" t="n"/>
      <c r="AL42" s="35" t="n"/>
      <c r="AM42" s="35" t="n"/>
      <c r="AN42" s="35" t="n"/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 t="n"/>
      <c r="AZ42" s="35" t="n"/>
      <c r="BA42" s="35" t="n"/>
      <c r="BB42" s="35" t="n"/>
      <c r="BC42" s="35" t="n"/>
      <c r="BD42" s="35" t="n"/>
      <c r="BE42" s="35" t="n"/>
      <c r="BF42" s="35" t="n"/>
      <c r="BG42" s="35" t="n"/>
      <c r="BH42" s="35" t="n"/>
    </row>
    <row r="43" ht="15" customHeight="1">
      <c r="A43" s="26" t="n"/>
      <c r="B43" s="27" t="n"/>
      <c r="C43" s="27" t="n"/>
      <c r="D43" s="27" t="n"/>
      <c r="E43" s="27" t="n"/>
      <c r="F43" s="28" t="n"/>
      <c r="G43" s="27" t="n"/>
      <c r="H43" s="29" t="str">
        <f>IF(OR(F43="",G43=""),"",IF(G43=0,F43,WORKDAY(F43,G43-1)))</f>
        <v/>
      </c>
      <c r="I43" s="27" t="n"/>
      <c r="J43" s="30" t="n"/>
      <c r="K43" s="27" t="n"/>
      <c r="L43" s="28" t="n"/>
      <c r="M43" s="28" t="n"/>
      <c r="N43" s="31" t="str">
        <f>IF(OR(H43="",M43=""),"",H43-M43)</f>
        <v/>
      </c>
      <c r="O43" s="32" t="str">
        <f>IF(OR(F43="",H43=""),"",IF(StatusDate&lt;F43,0,IF(StatusDate&gt;=H43,1,NETWORKDAYS(F43,StatusDate)/MAX(1,G43))))</f>
        <v/>
      </c>
      <c r="P43" s="33" t="str">
        <f>IF(B43="","",IF(AND(K43&lt;&gt;"Complete",H43&lt;&gt;"",H43&lt;StatusDate),"Overdue",IF(K43="Blocked","Blocked",IF(AND(O43&lt;&gt;"",K43&lt;&gt;"Complete",N(J43)&lt;O43-0.2),"Behind",""))))</f>
        <v/>
      </c>
      <c r="Q43" s="32" t="str">
        <f>IF(B43="","",IF(K43="Complete",1,N(J43)))</f>
        <v/>
      </c>
      <c r="R43" s="34" t="str">
        <f>IF(AND(B43&lt;&gt;"",G43=0,H43&lt;&gt;""),IF(K43&lt;&gt;"Complete",1,-1)*(H43+ROW()/100000),"")</f>
        <v/>
      </c>
      <c r="S43" s="33">
        <f>IF(OR(B43="",G43=""),0,IF(COUNTIF($A$5:$A$154,A43&amp;".*")&gt;0,0,G43))</f>
        <v>0</v>
      </c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 t="n"/>
      <c r="AZ43" s="35" t="n"/>
      <c r="BA43" s="35" t="n"/>
      <c r="BB43" s="35" t="n"/>
      <c r="BC43" s="35" t="n"/>
      <c r="BD43" s="35" t="n"/>
      <c r="BE43" s="35" t="n"/>
      <c r="BF43" s="35" t="n"/>
      <c r="BG43" s="35" t="n"/>
      <c r="BH43" s="35" t="n"/>
    </row>
    <row r="44" ht="15" customHeight="1">
      <c r="A44" s="26" t="n"/>
      <c r="B44" s="27" t="n"/>
      <c r="C44" s="27" t="n"/>
      <c r="D44" s="27" t="n"/>
      <c r="E44" s="27" t="n"/>
      <c r="F44" s="28" t="n"/>
      <c r="G44" s="27" t="n"/>
      <c r="H44" s="29" t="str">
        <f>IF(OR(F44="",G44=""),"",IF(G44=0,F44,WORKDAY(F44,G44-1)))</f>
        <v/>
      </c>
      <c r="I44" s="27" t="n"/>
      <c r="J44" s="30" t="n"/>
      <c r="K44" s="27" t="n"/>
      <c r="L44" s="28" t="n"/>
      <c r="M44" s="28" t="n"/>
      <c r="N44" s="31" t="str">
        <f>IF(OR(H44="",M44=""),"",H44-M44)</f>
        <v/>
      </c>
      <c r="O44" s="32" t="str">
        <f>IF(OR(F44="",H44=""),"",IF(StatusDate&lt;F44,0,IF(StatusDate&gt;=H44,1,NETWORKDAYS(F44,StatusDate)/MAX(1,G44))))</f>
        <v/>
      </c>
      <c r="P44" s="33" t="str">
        <f>IF(B44="","",IF(AND(K44&lt;&gt;"Complete",H44&lt;&gt;"",H44&lt;StatusDate),"Overdue",IF(K44="Blocked","Blocked",IF(AND(O44&lt;&gt;"",K44&lt;&gt;"Complete",N(J44)&lt;O44-0.2),"Behind",""))))</f>
        <v/>
      </c>
      <c r="Q44" s="32" t="str">
        <f>IF(B44="","",IF(K44="Complete",1,N(J44)))</f>
        <v/>
      </c>
      <c r="R44" s="34" t="str">
        <f>IF(AND(B44&lt;&gt;"",G44=0,H44&lt;&gt;""),IF(K44&lt;&gt;"Complete",1,-1)*(H44+ROW()/100000),"")</f>
        <v/>
      </c>
      <c r="S44" s="33">
        <f>IF(OR(B44="",G44=""),0,IF(COUNTIF($A$5:$A$154,A44&amp;".*")&gt;0,0,G44))</f>
        <v>0</v>
      </c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 t="n"/>
      <c r="AF44" s="35" t="n"/>
      <c r="AG44" s="35" t="n"/>
      <c r="AH44" s="35" t="n"/>
      <c r="AI44" s="35" t="n"/>
      <c r="AJ44" s="35" t="n"/>
      <c r="AK44" s="35" t="n"/>
      <c r="AL44" s="35" t="n"/>
      <c r="AM44" s="35" t="n"/>
      <c r="AN44" s="35" t="n"/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 t="n"/>
      <c r="AZ44" s="35" t="n"/>
      <c r="BA44" s="35" t="n"/>
      <c r="BB44" s="35" t="n"/>
      <c r="BC44" s="35" t="n"/>
      <c r="BD44" s="35" t="n"/>
      <c r="BE44" s="35" t="n"/>
      <c r="BF44" s="35" t="n"/>
      <c r="BG44" s="35" t="n"/>
      <c r="BH44" s="35" t="n"/>
    </row>
    <row r="45" ht="15" customHeight="1">
      <c r="A45" s="26" t="n"/>
      <c r="B45" s="27" t="n"/>
      <c r="C45" s="27" t="n"/>
      <c r="D45" s="27" t="n"/>
      <c r="E45" s="27" t="n"/>
      <c r="F45" s="28" t="n"/>
      <c r="G45" s="27" t="n"/>
      <c r="H45" s="29" t="str">
        <f>IF(OR(F45="",G45=""),"",IF(G45=0,F45,WORKDAY(F45,G45-1)))</f>
        <v/>
      </c>
      <c r="I45" s="27" t="n"/>
      <c r="J45" s="30" t="n"/>
      <c r="K45" s="27" t="n"/>
      <c r="L45" s="28" t="n"/>
      <c r="M45" s="28" t="n"/>
      <c r="N45" s="31" t="str">
        <f>IF(OR(H45="",M45=""),"",H45-M45)</f>
        <v/>
      </c>
      <c r="O45" s="32" t="str">
        <f>IF(OR(F45="",H45=""),"",IF(StatusDate&lt;F45,0,IF(StatusDate&gt;=H45,1,NETWORKDAYS(F45,StatusDate)/MAX(1,G45))))</f>
        <v/>
      </c>
      <c r="P45" s="33" t="str">
        <f>IF(B45="","",IF(AND(K45&lt;&gt;"Complete",H45&lt;&gt;"",H45&lt;StatusDate),"Overdue",IF(K45="Blocked","Blocked",IF(AND(O45&lt;&gt;"",K45&lt;&gt;"Complete",N(J45)&lt;O45-0.2),"Behind",""))))</f>
        <v/>
      </c>
      <c r="Q45" s="32" t="str">
        <f>IF(B45="","",IF(K45="Complete",1,N(J45)))</f>
        <v/>
      </c>
      <c r="R45" s="34" t="str">
        <f>IF(AND(B45&lt;&gt;"",G45=0,H45&lt;&gt;""),IF(K45&lt;&gt;"Complete",1,-1)*(H45+ROW()/100000),"")</f>
        <v/>
      </c>
      <c r="S45" s="33">
        <f>IF(OR(B45="",G45=""),0,IF(COUNTIF($A$5:$A$154,A45&amp;".*")&gt;0,0,G45))</f>
        <v>0</v>
      </c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 t="n"/>
      <c r="AF45" s="35" t="n"/>
      <c r="AG45" s="35" t="n"/>
      <c r="AH45" s="35" t="n"/>
      <c r="AI45" s="35" t="n"/>
      <c r="AJ45" s="35" t="n"/>
      <c r="AK45" s="35" t="n"/>
      <c r="AL45" s="35" t="n"/>
      <c r="AM45" s="35" t="n"/>
      <c r="AN45" s="35" t="n"/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 t="n"/>
      <c r="AZ45" s="35" t="n"/>
      <c r="BA45" s="35" t="n"/>
      <c r="BB45" s="35" t="n"/>
      <c r="BC45" s="35" t="n"/>
      <c r="BD45" s="35" t="n"/>
      <c r="BE45" s="35" t="n"/>
      <c r="BF45" s="35" t="n"/>
      <c r="BG45" s="35" t="n"/>
      <c r="BH45" s="35" t="n"/>
    </row>
    <row r="46" ht="15" customHeight="1">
      <c r="A46" s="26" t="n"/>
      <c r="B46" s="27" t="n"/>
      <c r="C46" s="27" t="n"/>
      <c r="D46" s="27" t="n"/>
      <c r="E46" s="27" t="n"/>
      <c r="F46" s="28" t="n"/>
      <c r="G46" s="27" t="n"/>
      <c r="H46" s="29" t="str">
        <f>IF(OR(F46="",G46=""),"",IF(G46=0,F46,WORKDAY(F46,G46-1)))</f>
        <v/>
      </c>
      <c r="I46" s="27" t="n"/>
      <c r="J46" s="30" t="n"/>
      <c r="K46" s="27" t="n"/>
      <c r="L46" s="28" t="n"/>
      <c r="M46" s="28" t="n"/>
      <c r="N46" s="31" t="str">
        <f>IF(OR(H46="",M46=""),"",H46-M46)</f>
        <v/>
      </c>
      <c r="O46" s="32" t="str">
        <f>IF(OR(F46="",H46=""),"",IF(StatusDate&lt;F46,0,IF(StatusDate&gt;=H46,1,NETWORKDAYS(F46,StatusDate)/MAX(1,G46))))</f>
        <v/>
      </c>
      <c r="P46" s="33" t="str">
        <f>IF(B46="","",IF(AND(K46&lt;&gt;"Complete",H46&lt;&gt;"",H46&lt;StatusDate),"Overdue",IF(K46="Blocked","Blocked",IF(AND(O46&lt;&gt;"",K46&lt;&gt;"Complete",N(J46)&lt;O46-0.2),"Behind",""))))</f>
        <v/>
      </c>
      <c r="Q46" s="32" t="str">
        <f>IF(B46="","",IF(K46="Complete",1,N(J46)))</f>
        <v/>
      </c>
      <c r="R46" s="34" t="str">
        <f>IF(AND(B46&lt;&gt;"",G46=0,H46&lt;&gt;""),IF(K46&lt;&gt;"Complete",1,-1)*(H46+ROW()/100000),"")</f>
        <v/>
      </c>
      <c r="S46" s="33">
        <f>IF(OR(B46="",G46=""),0,IF(COUNTIF($A$5:$A$154,A46&amp;".*")&gt;0,0,G46))</f>
        <v>0</v>
      </c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5" t="n"/>
      <c r="AN46" s="35" t="n"/>
      <c r="AO46" s="35" t="n"/>
      <c r="AP46" s="35" t="n"/>
      <c r="AQ46" s="35" t="n"/>
      <c r="AR46" s="35" t="n"/>
      <c r="AS46" s="35" t="n"/>
      <c r="AT46" s="35" t="n"/>
      <c r="AU46" s="35" t="n"/>
      <c r="AV46" s="35" t="n"/>
      <c r="AW46" s="35" t="n"/>
      <c r="AX46" s="35" t="n"/>
      <c r="AY46" s="35" t="n"/>
      <c r="AZ46" s="35" t="n"/>
      <c r="BA46" s="35" t="n"/>
      <c r="BB46" s="35" t="n"/>
      <c r="BC46" s="35" t="n"/>
      <c r="BD46" s="35" t="n"/>
      <c r="BE46" s="35" t="n"/>
      <c r="BF46" s="35" t="n"/>
      <c r="BG46" s="35" t="n"/>
      <c r="BH46" s="35" t="n"/>
    </row>
    <row r="47" ht="15" customHeight="1">
      <c r="A47" s="26" t="n"/>
      <c r="B47" s="27" t="n"/>
      <c r="C47" s="27" t="n"/>
      <c r="D47" s="27" t="n"/>
      <c r="E47" s="27" t="n"/>
      <c r="F47" s="28" t="n"/>
      <c r="G47" s="27" t="n"/>
      <c r="H47" s="29" t="str">
        <f>IF(OR(F47="",G47=""),"",IF(G47=0,F47,WORKDAY(F47,G47-1)))</f>
        <v/>
      </c>
      <c r="I47" s="27" t="n"/>
      <c r="J47" s="30" t="n"/>
      <c r="K47" s="27" t="n"/>
      <c r="L47" s="28" t="n"/>
      <c r="M47" s="28" t="n"/>
      <c r="N47" s="31" t="str">
        <f>IF(OR(H47="",M47=""),"",H47-M47)</f>
        <v/>
      </c>
      <c r="O47" s="32" t="str">
        <f>IF(OR(F47="",H47=""),"",IF(StatusDate&lt;F47,0,IF(StatusDate&gt;=H47,1,NETWORKDAYS(F47,StatusDate)/MAX(1,G47))))</f>
        <v/>
      </c>
      <c r="P47" s="33" t="str">
        <f>IF(B47="","",IF(AND(K47&lt;&gt;"Complete",H47&lt;&gt;"",H47&lt;StatusDate),"Overdue",IF(K47="Blocked","Blocked",IF(AND(O47&lt;&gt;"",K47&lt;&gt;"Complete",N(J47)&lt;O47-0.2),"Behind",""))))</f>
        <v/>
      </c>
      <c r="Q47" s="32" t="str">
        <f>IF(B47="","",IF(K47="Complete",1,N(J47)))</f>
        <v/>
      </c>
      <c r="R47" s="34" t="str">
        <f>IF(AND(B47&lt;&gt;"",G47=0,H47&lt;&gt;""),IF(K47&lt;&gt;"Complete",1,-1)*(H47+ROW()/100000),"")</f>
        <v/>
      </c>
      <c r="S47" s="33">
        <f>IF(OR(B47="",G47=""),0,IF(COUNTIF($A$5:$A$154,A47&amp;".*")&gt;0,0,G47))</f>
        <v>0</v>
      </c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35" t="n"/>
      <c r="AR47" s="35" t="n"/>
      <c r="AS47" s="35" t="n"/>
      <c r="AT47" s="35" t="n"/>
      <c r="AU47" s="35" t="n"/>
      <c r="AV47" s="35" t="n"/>
      <c r="AW47" s="35" t="n"/>
      <c r="AX47" s="35" t="n"/>
      <c r="AY47" s="35" t="n"/>
      <c r="AZ47" s="35" t="n"/>
      <c r="BA47" s="35" t="n"/>
      <c r="BB47" s="35" t="n"/>
      <c r="BC47" s="35" t="n"/>
      <c r="BD47" s="35" t="n"/>
      <c r="BE47" s="35" t="n"/>
      <c r="BF47" s="35" t="n"/>
      <c r="BG47" s="35" t="n"/>
      <c r="BH47" s="35" t="n"/>
    </row>
    <row r="48" ht="15" customHeight="1">
      <c r="A48" s="26" t="n"/>
      <c r="B48" s="27" t="n"/>
      <c r="C48" s="27" t="n"/>
      <c r="D48" s="27" t="n"/>
      <c r="E48" s="27" t="n"/>
      <c r="F48" s="28" t="n"/>
      <c r="G48" s="27" t="n"/>
      <c r="H48" s="29" t="str">
        <f>IF(OR(F48="",G48=""),"",IF(G48=0,F48,WORKDAY(F48,G48-1)))</f>
        <v/>
      </c>
      <c r="I48" s="27" t="n"/>
      <c r="J48" s="30" t="n"/>
      <c r="K48" s="27" t="n"/>
      <c r="L48" s="28" t="n"/>
      <c r="M48" s="28" t="n"/>
      <c r="N48" s="31" t="str">
        <f>IF(OR(H48="",M48=""),"",H48-M48)</f>
        <v/>
      </c>
      <c r="O48" s="32" t="str">
        <f>IF(OR(F48="",H48=""),"",IF(StatusDate&lt;F48,0,IF(StatusDate&gt;=H48,1,NETWORKDAYS(F48,StatusDate)/MAX(1,G48))))</f>
        <v/>
      </c>
      <c r="P48" s="33" t="str">
        <f>IF(B48="","",IF(AND(K48&lt;&gt;"Complete",H48&lt;&gt;"",H48&lt;StatusDate),"Overdue",IF(K48="Blocked","Blocked",IF(AND(O48&lt;&gt;"",K48&lt;&gt;"Complete",N(J48)&lt;O48-0.2),"Behind",""))))</f>
        <v/>
      </c>
      <c r="Q48" s="32" t="str">
        <f>IF(B48="","",IF(K48="Complete",1,N(J48)))</f>
        <v/>
      </c>
      <c r="R48" s="34" t="str">
        <f>IF(AND(B48&lt;&gt;"",G48=0,H48&lt;&gt;""),IF(K48&lt;&gt;"Complete",1,-1)*(H48+ROW()/100000),"")</f>
        <v/>
      </c>
      <c r="S48" s="33">
        <f>IF(OR(B48="",G48=""),0,IF(COUNTIF($A$5:$A$154,A48&amp;".*")&gt;0,0,G48))</f>
        <v>0</v>
      </c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 t="n"/>
      <c r="AZ48" s="35" t="n"/>
      <c r="BA48" s="35" t="n"/>
      <c r="BB48" s="35" t="n"/>
      <c r="BC48" s="35" t="n"/>
      <c r="BD48" s="35" t="n"/>
      <c r="BE48" s="35" t="n"/>
      <c r="BF48" s="35" t="n"/>
      <c r="BG48" s="35" t="n"/>
      <c r="BH48" s="35" t="n"/>
    </row>
    <row r="49" ht="15" customHeight="1">
      <c r="A49" s="26" t="n"/>
      <c r="B49" s="27" t="n"/>
      <c r="C49" s="27" t="n"/>
      <c r="D49" s="27" t="n"/>
      <c r="E49" s="27" t="n"/>
      <c r="F49" s="28" t="n"/>
      <c r="G49" s="27" t="n"/>
      <c r="H49" s="29" t="str">
        <f>IF(OR(F49="",G49=""),"",IF(G49=0,F49,WORKDAY(F49,G49-1)))</f>
        <v/>
      </c>
      <c r="I49" s="27" t="n"/>
      <c r="J49" s="30" t="n"/>
      <c r="K49" s="27" t="n"/>
      <c r="L49" s="28" t="n"/>
      <c r="M49" s="28" t="n"/>
      <c r="N49" s="31" t="str">
        <f>IF(OR(H49="",M49=""),"",H49-M49)</f>
        <v/>
      </c>
      <c r="O49" s="32" t="str">
        <f>IF(OR(F49="",H49=""),"",IF(StatusDate&lt;F49,0,IF(StatusDate&gt;=H49,1,NETWORKDAYS(F49,StatusDate)/MAX(1,G49))))</f>
        <v/>
      </c>
      <c r="P49" s="33" t="str">
        <f>IF(B49="","",IF(AND(K49&lt;&gt;"Complete",H49&lt;&gt;"",H49&lt;StatusDate),"Overdue",IF(K49="Blocked","Blocked",IF(AND(O49&lt;&gt;"",K49&lt;&gt;"Complete",N(J49)&lt;O49-0.2),"Behind",""))))</f>
        <v/>
      </c>
      <c r="Q49" s="32" t="str">
        <f>IF(B49="","",IF(K49="Complete",1,N(J49)))</f>
        <v/>
      </c>
      <c r="R49" s="34" t="str">
        <f>IF(AND(B49&lt;&gt;"",G49=0,H49&lt;&gt;""),IF(K49&lt;&gt;"Complete",1,-1)*(H49+ROW()/100000),"")</f>
        <v/>
      </c>
      <c r="S49" s="33">
        <f>IF(OR(B49="",G49=""),0,IF(COUNTIF($A$5:$A$154,A49&amp;".*")&gt;0,0,G49))</f>
        <v>0</v>
      </c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5" t="n"/>
      <c r="AN49" s="35" t="n"/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 t="n"/>
      <c r="AZ49" s="35" t="n"/>
      <c r="BA49" s="35" t="n"/>
      <c r="BB49" s="35" t="n"/>
      <c r="BC49" s="35" t="n"/>
      <c r="BD49" s="35" t="n"/>
      <c r="BE49" s="35" t="n"/>
      <c r="BF49" s="35" t="n"/>
      <c r="BG49" s="35" t="n"/>
      <c r="BH49" s="35" t="n"/>
    </row>
    <row r="50" ht="15" customHeight="1">
      <c r="A50" s="26" t="n"/>
      <c r="B50" s="27" t="n"/>
      <c r="C50" s="27" t="n"/>
      <c r="D50" s="27" t="n"/>
      <c r="E50" s="27" t="n"/>
      <c r="F50" s="28" t="n"/>
      <c r="G50" s="27" t="n"/>
      <c r="H50" s="29" t="str">
        <f>IF(OR(F50="",G50=""),"",IF(G50=0,F50,WORKDAY(F50,G50-1)))</f>
        <v/>
      </c>
      <c r="I50" s="27" t="n"/>
      <c r="J50" s="30" t="n"/>
      <c r="K50" s="27" t="n"/>
      <c r="L50" s="28" t="n"/>
      <c r="M50" s="28" t="n"/>
      <c r="N50" s="31" t="str">
        <f>IF(OR(H50="",M50=""),"",H50-M50)</f>
        <v/>
      </c>
      <c r="O50" s="32" t="str">
        <f>IF(OR(F50="",H50=""),"",IF(StatusDate&lt;F50,0,IF(StatusDate&gt;=H50,1,NETWORKDAYS(F50,StatusDate)/MAX(1,G50))))</f>
        <v/>
      </c>
      <c r="P50" s="33" t="str">
        <f>IF(B50="","",IF(AND(K50&lt;&gt;"Complete",H50&lt;&gt;"",H50&lt;StatusDate),"Overdue",IF(K50="Blocked","Blocked",IF(AND(O50&lt;&gt;"",K50&lt;&gt;"Complete",N(J50)&lt;O50-0.2),"Behind",""))))</f>
        <v/>
      </c>
      <c r="Q50" s="32" t="str">
        <f>IF(B50="","",IF(K50="Complete",1,N(J50)))</f>
        <v/>
      </c>
      <c r="R50" s="34" t="str">
        <f>IF(AND(B50&lt;&gt;"",G50=0,H50&lt;&gt;""),IF(K50&lt;&gt;"Complete",1,-1)*(H50+ROW()/100000),"")</f>
        <v/>
      </c>
      <c r="S50" s="33">
        <f>IF(OR(B50="",G50=""),0,IF(COUNTIF($A$5:$A$154,A50&amp;".*")&gt;0,0,G50))</f>
        <v>0</v>
      </c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 t="n"/>
      <c r="AZ50" s="35" t="n"/>
      <c r="BA50" s="35" t="n"/>
      <c r="BB50" s="35" t="n"/>
      <c r="BC50" s="35" t="n"/>
      <c r="BD50" s="35" t="n"/>
      <c r="BE50" s="35" t="n"/>
      <c r="BF50" s="35" t="n"/>
      <c r="BG50" s="35" t="n"/>
      <c r="BH50" s="35" t="n"/>
    </row>
    <row r="51" ht="15" customHeight="1">
      <c r="A51" s="26" t="n"/>
      <c r="B51" s="27" t="n"/>
      <c r="C51" s="27" t="n"/>
      <c r="D51" s="27" t="n"/>
      <c r="E51" s="27" t="n"/>
      <c r="F51" s="28" t="n"/>
      <c r="G51" s="27" t="n"/>
      <c r="H51" s="29" t="str">
        <f>IF(OR(F51="",G51=""),"",IF(G51=0,F51,WORKDAY(F51,G51-1)))</f>
        <v/>
      </c>
      <c r="I51" s="27" t="n"/>
      <c r="J51" s="30" t="n"/>
      <c r="K51" s="27" t="n"/>
      <c r="L51" s="28" t="n"/>
      <c r="M51" s="28" t="n"/>
      <c r="N51" s="31" t="str">
        <f>IF(OR(H51="",M51=""),"",H51-M51)</f>
        <v/>
      </c>
      <c r="O51" s="32" t="str">
        <f>IF(OR(F51="",H51=""),"",IF(StatusDate&lt;F51,0,IF(StatusDate&gt;=H51,1,NETWORKDAYS(F51,StatusDate)/MAX(1,G51))))</f>
        <v/>
      </c>
      <c r="P51" s="33" t="str">
        <f>IF(B51="","",IF(AND(K51&lt;&gt;"Complete",H51&lt;&gt;"",H51&lt;StatusDate),"Overdue",IF(K51="Blocked","Blocked",IF(AND(O51&lt;&gt;"",K51&lt;&gt;"Complete",N(J51)&lt;O51-0.2),"Behind",""))))</f>
        <v/>
      </c>
      <c r="Q51" s="32" t="str">
        <f>IF(B51="","",IF(K51="Complete",1,N(J51)))</f>
        <v/>
      </c>
      <c r="R51" s="34" t="str">
        <f>IF(AND(B51&lt;&gt;"",G51=0,H51&lt;&gt;""),IF(K51&lt;&gt;"Complete",1,-1)*(H51+ROW()/100000),"")</f>
        <v/>
      </c>
      <c r="S51" s="33">
        <f>IF(OR(B51="",G51=""),0,IF(COUNTIF($A$5:$A$154,A51&amp;".*")&gt;0,0,G51))</f>
        <v>0</v>
      </c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 t="n"/>
      <c r="AF51" s="35" t="n"/>
      <c r="AG51" s="35" t="n"/>
      <c r="AH51" s="35" t="n"/>
      <c r="AI51" s="35" t="n"/>
      <c r="AJ51" s="35" t="n"/>
      <c r="AK51" s="35" t="n"/>
      <c r="AL51" s="35" t="n"/>
      <c r="AM51" s="35" t="n"/>
      <c r="AN51" s="35" t="n"/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 t="n"/>
      <c r="AZ51" s="35" t="n"/>
      <c r="BA51" s="35" t="n"/>
      <c r="BB51" s="35" t="n"/>
      <c r="BC51" s="35" t="n"/>
      <c r="BD51" s="35" t="n"/>
      <c r="BE51" s="35" t="n"/>
      <c r="BF51" s="35" t="n"/>
      <c r="BG51" s="35" t="n"/>
      <c r="BH51" s="35" t="n"/>
    </row>
    <row r="52" ht="15" customHeight="1">
      <c r="A52" s="26" t="n"/>
      <c r="B52" s="27" t="n"/>
      <c r="C52" s="27" t="n"/>
      <c r="D52" s="27" t="n"/>
      <c r="E52" s="27" t="n"/>
      <c r="F52" s="28" t="n"/>
      <c r="G52" s="27" t="n"/>
      <c r="H52" s="29" t="str">
        <f>IF(OR(F52="",G52=""),"",IF(G52=0,F52,WORKDAY(F52,G52-1)))</f>
        <v/>
      </c>
      <c r="I52" s="27" t="n"/>
      <c r="J52" s="30" t="n"/>
      <c r="K52" s="27" t="n"/>
      <c r="L52" s="28" t="n"/>
      <c r="M52" s="28" t="n"/>
      <c r="N52" s="31" t="str">
        <f>IF(OR(H52="",M52=""),"",H52-M52)</f>
        <v/>
      </c>
      <c r="O52" s="32" t="str">
        <f>IF(OR(F52="",H52=""),"",IF(StatusDate&lt;F52,0,IF(StatusDate&gt;=H52,1,NETWORKDAYS(F52,StatusDate)/MAX(1,G52))))</f>
        <v/>
      </c>
      <c r="P52" s="33" t="str">
        <f>IF(B52="","",IF(AND(K52&lt;&gt;"Complete",H52&lt;&gt;"",H52&lt;StatusDate),"Overdue",IF(K52="Blocked","Blocked",IF(AND(O52&lt;&gt;"",K52&lt;&gt;"Complete",N(J52)&lt;O52-0.2),"Behind",""))))</f>
        <v/>
      </c>
      <c r="Q52" s="32" t="str">
        <f>IF(B52="","",IF(K52="Complete",1,N(J52)))</f>
        <v/>
      </c>
      <c r="R52" s="34" t="str">
        <f>IF(AND(B52&lt;&gt;"",G52=0,H52&lt;&gt;""),IF(K52&lt;&gt;"Complete",1,-1)*(H52+ROW()/100000),"")</f>
        <v/>
      </c>
      <c r="S52" s="33">
        <f>IF(OR(B52="",G52=""),0,IF(COUNTIF($A$5:$A$154,A52&amp;".*")&gt;0,0,G52))</f>
        <v>0</v>
      </c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5" t="n"/>
      <c r="AN52" s="35" t="n"/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 t="n"/>
      <c r="AZ52" s="35" t="n"/>
      <c r="BA52" s="35" t="n"/>
      <c r="BB52" s="35" t="n"/>
      <c r="BC52" s="35" t="n"/>
      <c r="BD52" s="35" t="n"/>
      <c r="BE52" s="35" t="n"/>
      <c r="BF52" s="35" t="n"/>
      <c r="BG52" s="35" t="n"/>
      <c r="BH52" s="35" t="n"/>
    </row>
    <row r="53" ht="15" customHeight="1">
      <c r="A53" s="26" t="n"/>
      <c r="B53" s="27" t="n"/>
      <c r="C53" s="27" t="n"/>
      <c r="D53" s="27" t="n"/>
      <c r="E53" s="27" t="n"/>
      <c r="F53" s="28" t="n"/>
      <c r="G53" s="27" t="n"/>
      <c r="H53" s="29" t="str">
        <f>IF(OR(F53="",G53=""),"",IF(G53=0,F53,WORKDAY(F53,G53-1)))</f>
        <v/>
      </c>
      <c r="I53" s="27" t="n"/>
      <c r="J53" s="30" t="n"/>
      <c r="K53" s="27" t="n"/>
      <c r="L53" s="28" t="n"/>
      <c r="M53" s="28" t="n"/>
      <c r="N53" s="31" t="str">
        <f>IF(OR(H53="",M53=""),"",H53-M53)</f>
        <v/>
      </c>
      <c r="O53" s="32" t="str">
        <f>IF(OR(F53="",H53=""),"",IF(StatusDate&lt;F53,0,IF(StatusDate&gt;=H53,1,NETWORKDAYS(F53,StatusDate)/MAX(1,G53))))</f>
        <v/>
      </c>
      <c r="P53" s="33" t="str">
        <f>IF(B53="","",IF(AND(K53&lt;&gt;"Complete",H53&lt;&gt;"",H53&lt;StatusDate),"Overdue",IF(K53="Blocked","Blocked",IF(AND(O53&lt;&gt;"",K53&lt;&gt;"Complete",N(J53)&lt;O53-0.2),"Behind",""))))</f>
        <v/>
      </c>
      <c r="Q53" s="32" t="str">
        <f>IF(B53="","",IF(K53="Complete",1,N(J53)))</f>
        <v/>
      </c>
      <c r="R53" s="34" t="str">
        <f>IF(AND(B53&lt;&gt;"",G53=0,H53&lt;&gt;""),IF(K53&lt;&gt;"Complete",1,-1)*(H53+ROW()/100000),"")</f>
        <v/>
      </c>
      <c r="S53" s="33">
        <f>IF(OR(B53="",G53=""),0,IF(COUNTIF($A$5:$A$154,A53&amp;".*")&gt;0,0,G53))</f>
        <v>0</v>
      </c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 t="n"/>
      <c r="AZ53" s="35" t="n"/>
      <c r="BA53" s="35" t="n"/>
      <c r="BB53" s="35" t="n"/>
      <c r="BC53" s="35" t="n"/>
      <c r="BD53" s="35" t="n"/>
      <c r="BE53" s="35" t="n"/>
      <c r="BF53" s="35" t="n"/>
      <c r="BG53" s="35" t="n"/>
      <c r="BH53" s="35" t="n"/>
    </row>
    <row r="54" ht="15" customHeight="1">
      <c r="A54" s="26" t="n"/>
      <c r="B54" s="27" t="n"/>
      <c r="C54" s="27" t="n"/>
      <c r="D54" s="27" t="n"/>
      <c r="E54" s="27" t="n"/>
      <c r="F54" s="28" t="n"/>
      <c r="G54" s="27" t="n"/>
      <c r="H54" s="29" t="str">
        <f>IF(OR(F54="",G54=""),"",IF(G54=0,F54,WORKDAY(F54,G54-1)))</f>
        <v/>
      </c>
      <c r="I54" s="27" t="n"/>
      <c r="J54" s="30" t="n"/>
      <c r="K54" s="27" t="n"/>
      <c r="L54" s="28" t="n"/>
      <c r="M54" s="28" t="n"/>
      <c r="N54" s="31" t="str">
        <f>IF(OR(H54="",M54=""),"",H54-M54)</f>
        <v/>
      </c>
      <c r="O54" s="32" t="str">
        <f>IF(OR(F54="",H54=""),"",IF(StatusDate&lt;F54,0,IF(StatusDate&gt;=H54,1,NETWORKDAYS(F54,StatusDate)/MAX(1,G54))))</f>
        <v/>
      </c>
      <c r="P54" s="33" t="str">
        <f>IF(B54="","",IF(AND(K54&lt;&gt;"Complete",H54&lt;&gt;"",H54&lt;StatusDate),"Overdue",IF(K54="Blocked","Blocked",IF(AND(O54&lt;&gt;"",K54&lt;&gt;"Complete",N(J54)&lt;O54-0.2),"Behind",""))))</f>
        <v/>
      </c>
      <c r="Q54" s="32" t="str">
        <f>IF(B54="","",IF(K54="Complete",1,N(J54)))</f>
        <v/>
      </c>
      <c r="R54" s="34" t="str">
        <f>IF(AND(B54&lt;&gt;"",G54=0,H54&lt;&gt;""),IF(K54&lt;&gt;"Complete",1,-1)*(H54+ROW()/100000),"")</f>
        <v/>
      </c>
      <c r="S54" s="33">
        <f>IF(OR(B54="",G54=""),0,IF(COUNTIF($A$5:$A$154,A54&amp;".*")&gt;0,0,G54))</f>
        <v>0</v>
      </c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  <c r="AG54" s="35" t="n"/>
      <c r="AH54" s="35" t="n"/>
      <c r="AI54" s="35" t="n"/>
      <c r="AJ54" s="35" t="n"/>
      <c r="AK54" s="35" t="n"/>
      <c r="AL54" s="35" t="n"/>
      <c r="AM54" s="35" t="n"/>
      <c r="AN54" s="35" t="n"/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 t="n"/>
      <c r="AZ54" s="35" t="n"/>
      <c r="BA54" s="35" t="n"/>
      <c r="BB54" s="35" t="n"/>
      <c r="BC54" s="35" t="n"/>
      <c r="BD54" s="35" t="n"/>
      <c r="BE54" s="35" t="n"/>
      <c r="BF54" s="35" t="n"/>
      <c r="BG54" s="35" t="n"/>
      <c r="BH54" s="35" t="n"/>
    </row>
    <row r="55" ht="15" customHeight="1">
      <c r="A55" s="26" t="n"/>
      <c r="B55" s="27" t="n"/>
      <c r="C55" s="27" t="n"/>
      <c r="D55" s="27" t="n"/>
      <c r="E55" s="27" t="n"/>
      <c r="F55" s="28" t="n"/>
      <c r="G55" s="27" t="n"/>
      <c r="H55" s="29" t="str">
        <f>IF(OR(F55="",G55=""),"",IF(G55=0,F55,WORKDAY(F55,G55-1)))</f>
        <v/>
      </c>
      <c r="I55" s="27" t="n"/>
      <c r="J55" s="30" t="n"/>
      <c r="K55" s="27" t="n"/>
      <c r="L55" s="28" t="n"/>
      <c r="M55" s="28" t="n"/>
      <c r="N55" s="31" t="str">
        <f>IF(OR(H55="",M55=""),"",H55-M55)</f>
        <v/>
      </c>
      <c r="O55" s="32" t="str">
        <f>IF(OR(F55="",H55=""),"",IF(StatusDate&lt;F55,0,IF(StatusDate&gt;=H55,1,NETWORKDAYS(F55,StatusDate)/MAX(1,G55))))</f>
        <v/>
      </c>
      <c r="P55" s="33" t="str">
        <f>IF(B55="","",IF(AND(K55&lt;&gt;"Complete",H55&lt;&gt;"",H55&lt;StatusDate),"Overdue",IF(K55="Blocked","Blocked",IF(AND(O55&lt;&gt;"",K55&lt;&gt;"Complete",N(J55)&lt;O55-0.2),"Behind",""))))</f>
        <v/>
      </c>
      <c r="Q55" s="32" t="str">
        <f>IF(B55="","",IF(K55="Complete",1,N(J55)))</f>
        <v/>
      </c>
      <c r="R55" s="34" t="str">
        <f>IF(AND(B55&lt;&gt;"",G55=0,H55&lt;&gt;""),IF(K55&lt;&gt;"Complete",1,-1)*(H55+ROW()/100000),"")</f>
        <v/>
      </c>
      <c r="S55" s="33">
        <f>IF(OR(B55="",G55=""),0,IF(COUNTIF($A$5:$A$154,A55&amp;".*")&gt;0,0,G55))</f>
        <v>0</v>
      </c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5" t="n"/>
      <c r="AN55" s="35" t="n"/>
      <c r="AO55" s="35" t="n"/>
      <c r="AP55" s="35" t="n"/>
      <c r="AQ55" s="35" t="n"/>
      <c r="AR55" s="35" t="n"/>
      <c r="AS55" s="35" t="n"/>
      <c r="AT55" s="35" t="n"/>
      <c r="AU55" s="35" t="n"/>
      <c r="AV55" s="35" t="n"/>
      <c r="AW55" s="35" t="n"/>
      <c r="AX55" s="35" t="n"/>
      <c r="AY55" s="35" t="n"/>
      <c r="AZ55" s="35" t="n"/>
      <c r="BA55" s="35" t="n"/>
      <c r="BB55" s="35" t="n"/>
      <c r="BC55" s="35" t="n"/>
      <c r="BD55" s="35" t="n"/>
      <c r="BE55" s="35" t="n"/>
      <c r="BF55" s="35" t="n"/>
      <c r="BG55" s="35" t="n"/>
      <c r="BH55" s="35" t="n"/>
    </row>
    <row r="56" ht="15" customHeight="1">
      <c r="A56" s="26" t="n"/>
      <c r="B56" s="27" t="n"/>
      <c r="C56" s="27" t="n"/>
      <c r="D56" s="27" t="n"/>
      <c r="E56" s="27" t="n"/>
      <c r="F56" s="28" t="n"/>
      <c r="G56" s="27" t="n"/>
      <c r="H56" s="29" t="str">
        <f>IF(OR(F56="",G56=""),"",IF(G56=0,F56,WORKDAY(F56,G56-1)))</f>
        <v/>
      </c>
      <c r="I56" s="27" t="n"/>
      <c r="J56" s="30" t="n"/>
      <c r="K56" s="27" t="n"/>
      <c r="L56" s="28" t="n"/>
      <c r="M56" s="28" t="n"/>
      <c r="N56" s="31" t="str">
        <f>IF(OR(H56="",M56=""),"",H56-M56)</f>
        <v/>
      </c>
      <c r="O56" s="32" t="str">
        <f>IF(OR(F56="",H56=""),"",IF(StatusDate&lt;F56,0,IF(StatusDate&gt;=H56,1,NETWORKDAYS(F56,StatusDate)/MAX(1,G56))))</f>
        <v/>
      </c>
      <c r="P56" s="33" t="str">
        <f>IF(B56="","",IF(AND(K56&lt;&gt;"Complete",H56&lt;&gt;"",H56&lt;StatusDate),"Overdue",IF(K56="Blocked","Blocked",IF(AND(O56&lt;&gt;"",K56&lt;&gt;"Complete",N(J56)&lt;O56-0.2),"Behind",""))))</f>
        <v/>
      </c>
      <c r="Q56" s="32" t="str">
        <f>IF(B56="","",IF(K56="Complete",1,N(J56)))</f>
        <v/>
      </c>
      <c r="R56" s="34" t="str">
        <f>IF(AND(B56&lt;&gt;"",G56=0,H56&lt;&gt;""),IF(K56&lt;&gt;"Complete",1,-1)*(H56+ROW()/100000),"")</f>
        <v/>
      </c>
      <c r="S56" s="33">
        <f>IF(OR(B56="",G56=""),0,IF(COUNTIF($A$5:$A$154,A56&amp;".*")&gt;0,0,G56))</f>
        <v>0</v>
      </c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 t="n"/>
      <c r="AG56" s="35" t="n"/>
      <c r="AH56" s="35" t="n"/>
      <c r="AI56" s="35" t="n"/>
      <c r="AJ56" s="35" t="n"/>
      <c r="AK56" s="35" t="n"/>
      <c r="AL56" s="35" t="n"/>
      <c r="AM56" s="35" t="n"/>
      <c r="AN56" s="35" t="n"/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 t="n"/>
      <c r="AZ56" s="35" t="n"/>
      <c r="BA56" s="35" t="n"/>
      <c r="BB56" s="35" t="n"/>
      <c r="BC56" s="35" t="n"/>
      <c r="BD56" s="35" t="n"/>
      <c r="BE56" s="35" t="n"/>
      <c r="BF56" s="35" t="n"/>
      <c r="BG56" s="35" t="n"/>
      <c r="BH56" s="35" t="n"/>
    </row>
    <row r="57" ht="15" customHeight="1">
      <c r="A57" s="26" t="n"/>
      <c r="B57" s="27" t="n"/>
      <c r="C57" s="27" t="n"/>
      <c r="D57" s="27" t="n"/>
      <c r="E57" s="27" t="n"/>
      <c r="F57" s="28" t="n"/>
      <c r="G57" s="27" t="n"/>
      <c r="H57" s="29" t="str">
        <f>IF(OR(F57="",G57=""),"",IF(G57=0,F57,WORKDAY(F57,G57-1)))</f>
        <v/>
      </c>
      <c r="I57" s="27" t="n"/>
      <c r="J57" s="30" t="n"/>
      <c r="K57" s="27" t="n"/>
      <c r="L57" s="28" t="n"/>
      <c r="M57" s="28" t="n"/>
      <c r="N57" s="31" t="str">
        <f>IF(OR(H57="",M57=""),"",H57-M57)</f>
        <v/>
      </c>
      <c r="O57" s="32" t="str">
        <f>IF(OR(F57="",H57=""),"",IF(StatusDate&lt;F57,0,IF(StatusDate&gt;=H57,1,NETWORKDAYS(F57,StatusDate)/MAX(1,G57))))</f>
        <v/>
      </c>
      <c r="P57" s="33" t="str">
        <f>IF(B57="","",IF(AND(K57&lt;&gt;"Complete",H57&lt;&gt;"",H57&lt;StatusDate),"Overdue",IF(K57="Blocked","Blocked",IF(AND(O57&lt;&gt;"",K57&lt;&gt;"Complete",N(J57)&lt;O57-0.2),"Behind",""))))</f>
        <v/>
      </c>
      <c r="Q57" s="32" t="str">
        <f>IF(B57="","",IF(K57="Complete",1,N(J57)))</f>
        <v/>
      </c>
      <c r="R57" s="34" t="str">
        <f>IF(AND(B57&lt;&gt;"",G57=0,H57&lt;&gt;""),IF(K57&lt;&gt;"Complete",1,-1)*(H57+ROW()/100000),"")</f>
        <v/>
      </c>
      <c r="S57" s="33">
        <f>IF(OR(B57="",G57=""),0,IF(COUNTIF($A$5:$A$154,A57&amp;".*")&gt;0,0,G57))</f>
        <v>0</v>
      </c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 t="n"/>
      <c r="AZ57" s="35" t="n"/>
      <c r="BA57" s="35" t="n"/>
      <c r="BB57" s="35" t="n"/>
      <c r="BC57" s="35" t="n"/>
      <c r="BD57" s="35" t="n"/>
      <c r="BE57" s="35" t="n"/>
      <c r="BF57" s="35" t="n"/>
      <c r="BG57" s="35" t="n"/>
      <c r="BH57" s="35" t="n"/>
    </row>
    <row r="58" ht="15" customHeight="1">
      <c r="A58" s="26" t="n"/>
      <c r="B58" s="27" t="n"/>
      <c r="C58" s="27" t="n"/>
      <c r="D58" s="27" t="n"/>
      <c r="E58" s="27" t="n"/>
      <c r="F58" s="28" t="n"/>
      <c r="G58" s="27" t="n"/>
      <c r="H58" s="29" t="str">
        <f>IF(OR(F58="",G58=""),"",IF(G58=0,F58,WORKDAY(F58,G58-1)))</f>
        <v/>
      </c>
      <c r="I58" s="27" t="n"/>
      <c r="J58" s="30" t="n"/>
      <c r="K58" s="27" t="n"/>
      <c r="L58" s="28" t="n"/>
      <c r="M58" s="28" t="n"/>
      <c r="N58" s="31" t="str">
        <f>IF(OR(H58="",M58=""),"",H58-M58)</f>
        <v/>
      </c>
      <c r="O58" s="32" t="str">
        <f>IF(OR(F58="",H58=""),"",IF(StatusDate&lt;F58,0,IF(StatusDate&gt;=H58,1,NETWORKDAYS(F58,StatusDate)/MAX(1,G58))))</f>
        <v/>
      </c>
      <c r="P58" s="33" t="str">
        <f>IF(B58="","",IF(AND(K58&lt;&gt;"Complete",H58&lt;&gt;"",H58&lt;StatusDate),"Overdue",IF(K58="Blocked","Blocked",IF(AND(O58&lt;&gt;"",K58&lt;&gt;"Complete",N(J58)&lt;O58-0.2),"Behind",""))))</f>
        <v/>
      </c>
      <c r="Q58" s="32" t="str">
        <f>IF(B58="","",IF(K58="Complete",1,N(J58)))</f>
        <v/>
      </c>
      <c r="R58" s="34" t="str">
        <f>IF(AND(B58&lt;&gt;"",G58=0,H58&lt;&gt;""),IF(K58&lt;&gt;"Complete",1,-1)*(H58+ROW()/100000),"")</f>
        <v/>
      </c>
      <c r="S58" s="33">
        <f>IF(OR(B58="",G58=""),0,IF(COUNTIF($A$5:$A$154,A58&amp;".*")&gt;0,0,G58))</f>
        <v>0</v>
      </c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5" t="n"/>
      <c r="AN58" s="35" t="n"/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 t="n"/>
      <c r="AZ58" s="35" t="n"/>
      <c r="BA58" s="35" t="n"/>
      <c r="BB58" s="35" t="n"/>
      <c r="BC58" s="35" t="n"/>
      <c r="BD58" s="35" t="n"/>
      <c r="BE58" s="35" t="n"/>
      <c r="BF58" s="35" t="n"/>
      <c r="BG58" s="35" t="n"/>
      <c r="BH58" s="35" t="n"/>
    </row>
    <row r="59" ht="15" customHeight="1">
      <c r="A59" s="26" t="n"/>
      <c r="B59" s="27" t="n"/>
      <c r="C59" s="27" t="n"/>
      <c r="D59" s="27" t="n"/>
      <c r="E59" s="27" t="n"/>
      <c r="F59" s="28" t="n"/>
      <c r="G59" s="27" t="n"/>
      <c r="H59" s="29" t="str">
        <f>IF(OR(F59="",G59=""),"",IF(G59=0,F59,WORKDAY(F59,G59-1)))</f>
        <v/>
      </c>
      <c r="I59" s="27" t="n"/>
      <c r="J59" s="30" t="n"/>
      <c r="K59" s="27" t="n"/>
      <c r="L59" s="28" t="n"/>
      <c r="M59" s="28" t="n"/>
      <c r="N59" s="31" t="str">
        <f>IF(OR(H59="",M59=""),"",H59-M59)</f>
        <v/>
      </c>
      <c r="O59" s="32" t="str">
        <f>IF(OR(F59="",H59=""),"",IF(StatusDate&lt;F59,0,IF(StatusDate&gt;=H59,1,NETWORKDAYS(F59,StatusDate)/MAX(1,G59))))</f>
        <v/>
      </c>
      <c r="P59" s="33" t="str">
        <f>IF(B59="","",IF(AND(K59&lt;&gt;"Complete",H59&lt;&gt;"",H59&lt;StatusDate),"Overdue",IF(K59="Blocked","Blocked",IF(AND(O59&lt;&gt;"",K59&lt;&gt;"Complete",N(J59)&lt;O59-0.2),"Behind",""))))</f>
        <v/>
      </c>
      <c r="Q59" s="32" t="str">
        <f>IF(B59="","",IF(K59="Complete",1,N(J59)))</f>
        <v/>
      </c>
      <c r="R59" s="34" t="str">
        <f>IF(AND(B59&lt;&gt;"",G59=0,H59&lt;&gt;""),IF(K59&lt;&gt;"Complete",1,-1)*(H59+ROW()/100000),"")</f>
        <v/>
      </c>
      <c r="S59" s="33">
        <f>IF(OR(B59="",G59=""),0,IF(COUNTIF($A$5:$A$154,A59&amp;".*")&gt;0,0,G59))</f>
        <v>0</v>
      </c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 t="n"/>
      <c r="AF59" s="35" t="n"/>
      <c r="AG59" s="35" t="n"/>
      <c r="AH59" s="35" t="n"/>
      <c r="AI59" s="35" t="n"/>
      <c r="AJ59" s="35" t="n"/>
      <c r="AK59" s="35" t="n"/>
      <c r="AL59" s="35" t="n"/>
      <c r="AM59" s="35" t="n"/>
      <c r="AN59" s="35" t="n"/>
      <c r="AO59" s="35" t="n"/>
      <c r="AP59" s="35" t="n"/>
      <c r="AQ59" s="35" t="n"/>
      <c r="AR59" s="35" t="n"/>
      <c r="AS59" s="35" t="n"/>
      <c r="AT59" s="35" t="n"/>
      <c r="AU59" s="35" t="n"/>
      <c r="AV59" s="35" t="n"/>
      <c r="AW59" s="35" t="n"/>
      <c r="AX59" s="35" t="n"/>
      <c r="AY59" s="35" t="n"/>
      <c r="AZ59" s="35" t="n"/>
      <c r="BA59" s="35" t="n"/>
      <c r="BB59" s="35" t="n"/>
      <c r="BC59" s="35" t="n"/>
      <c r="BD59" s="35" t="n"/>
      <c r="BE59" s="35" t="n"/>
      <c r="BF59" s="35" t="n"/>
      <c r="BG59" s="35" t="n"/>
      <c r="BH59" s="35" t="n"/>
    </row>
    <row r="60" ht="15" customHeight="1">
      <c r="A60" s="26" t="n"/>
      <c r="B60" s="27" t="n"/>
      <c r="C60" s="27" t="n"/>
      <c r="D60" s="27" t="n"/>
      <c r="E60" s="27" t="n"/>
      <c r="F60" s="28" t="n"/>
      <c r="G60" s="27" t="n"/>
      <c r="H60" s="29" t="str">
        <f>IF(OR(F60="",G60=""),"",IF(G60=0,F60,WORKDAY(F60,G60-1)))</f>
        <v/>
      </c>
      <c r="I60" s="27" t="n"/>
      <c r="J60" s="30" t="n"/>
      <c r="K60" s="27" t="n"/>
      <c r="L60" s="28" t="n"/>
      <c r="M60" s="28" t="n"/>
      <c r="N60" s="31" t="str">
        <f>IF(OR(H60="",M60=""),"",H60-M60)</f>
        <v/>
      </c>
      <c r="O60" s="32" t="str">
        <f>IF(OR(F60="",H60=""),"",IF(StatusDate&lt;F60,0,IF(StatusDate&gt;=H60,1,NETWORKDAYS(F60,StatusDate)/MAX(1,G60))))</f>
        <v/>
      </c>
      <c r="P60" s="33" t="str">
        <f>IF(B60="","",IF(AND(K60&lt;&gt;"Complete",H60&lt;&gt;"",H60&lt;StatusDate),"Overdue",IF(K60="Blocked","Blocked",IF(AND(O60&lt;&gt;"",K60&lt;&gt;"Complete",N(J60)&lt;O60-0.2),"Behind",""))))</f>
        <v/>
      </c>
      <c r="Q60" s="32" t="str">
        <f>IF(B60="","",IF(K60="Complete",1,N(J60)))</f>
        <v/>
      </c>
      <c r="R60" s="34" t="str">
        <f>IF(AND(B60&lt;&gt;"",G60=0,H60&lt;&gt;""),IF(K60&lt;&gt;"Complete",1,-1)*(H60+ROW()/100000),"")</f>
        <v/>
      </c>
      <c r="S60" s="33">
        <f>IF(OR(B60="",G60=""),0,IF(COUNTIF($A$5:$A$154,A60&amp;".*")&gt;0,0,G60))</f>
        <v>0</v>
      </c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 t="n"/>
      <c r="AF60" s="35" t="n"/>
      <c r="AG60" s="35" t="n"/>
      <c r="AH60" s="35" t="n"/>
      <c r="AI60" s="35" t="n"/>
      <c r="AJ60" s="35" t="n"/>
      <c r="AK60" s="35" t="n"/>
      <c r="AL60" s="35" t="n"/>
      <c r="AM60" s="35" t="n"/>
      <c r="AN60" s="35" t="n"/>
      <c r="AO60" s="35" t="n"/>
      <c r="AP60" s="35" t="n"/>
      <c r="AQ60" s="35" t="n"/>
      <c r="AR60" s="35" t="n"/>
      <c r="AS60" s="35" t="n"/>
      <c r="AT60" s="35" t="n"/>
      <c r="AU60" s="35" t="n"/>
      <c r="AV60" s="35" t="n"/>
      <c r="AW60" s="35" t="n"/>
      <c r="AX60" s="35" t="n"/>
      <c r="AY60" s="35" t="n"/>
      <c r="AZ60" s="35" t="n"/>
      <c r="BA60" s="35" t="n"/>
      <c r="BB60" s="35" t="n"/>
      <c r="BC60" s="35" t="n"/>
      <c r="BD60" s="35" t="n"/>
      <c r="BE60" s="35" t="n"/>
      <c r="BF60" s="35" t="n"/>
      <c r="BG60" s="35" t="n"/>
      <c r="BH60" s="35" t="n"/>
    </row>
    <row r="61" ht="15" customHeight="1">
      <c r="A61" s="26" t="n"/>
      <c r="B61" s="27" t="n"/>
      <c r="C61" s="27" t="n"/>
      <c r="D61" s="27" t="n"/>
      <c r="E61" s="27" t="n"/>
      <c r="F61" s="28" t="n"/>
      <c r="G61" s="27" t="n"/>
      <c r="H61" s="29" t="str">
        <f>IF(OR(F61="",G61=""),"",IF(G61=0,F61,WORKDAY(F61,G61-1)))</f>
        <v/>
      </c>
      <c r="I61" s="27" t="n"/>
      <c r="J61" s="30" t="n"/>
      <c r="K61" s="27" t="n"/>
      <c r="L61" s="28" t="n"/>
      <c r="M61" s="28" t="n"/>
      <c r="N61" s="31" t="str">
        <f>IF(OR(H61="",M61=""),"",H61-M61)</f>
        <v/>
      </c>
      <c r="O61" s="32" t="str">
        <f>IF(OR(F61="",H61=""),"",IF(StatusDate&lt;F61,0,IF(StatusDate&gt;=H61,1,NETWORKDAYS(F61,StatusDate)/MAX(1,G61))))</f>
        <v/>
      </c>
      <c r="P61" s="33" t="str">
        <f>IF(B61="","",IF(AND(K61&lt;&gt;"Complete",H61&lt;&gt;"",H61&lt;StatusDate),"Overdue",IF(K61="Blocked","Blocked",IF(AND(O61&lt;&gt;"",K61&lt;&gt;"Complete",N(J61)&lt;O61-0.2),"Behind",""))))</f>
        <v/>
      </c>
      <c r="Q61" s="32" t="str">
        <f>IF(B61="","",IF(K61="Complete",1,N(J61)))</f>
        <v/>
      </c>
      <c r="R61" s="34" t="str">
        <f>IF(AND(B61&lt;&gt;"",G61=0,H61&lt;&gt;""),IF(K61&lt;&gt;"Complete",1,-1)*(H61+ROW()/100000),"")</f>
        <v/>
      </c>
      <c r="S61" s="33">
        <f>IF(OR(B61="",G61=""),0,IF(COUNTIF($A$5:$A$154,A61&amp;".*")&gt;0,0,G61))</f>
        <v>0</v>
      </c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5" t="n"/>
      <c r="AN61" s="35" t="n"/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 t="n"/>
      <c r="AZ61" s="35" t="n"/>
      <c r="BA61" s="35" t="n"/>
      <c r="BB61" s="35" t="n"/>
      <c r="BC61" s="35" t="n"/>
      <c r="BD61" s="35" t="n"/>
      <c r="BE61" s="35" t="n"/>
      <c r="BF61" s="35" t="n"/>
      <c r="BG61" s="35" t="n"/>
      <c r="BH61" s="35" t="n"/>
    </row>
    <row r="62" ht="15" customHeight="1">
      <c r="A62" s="26" t="n"/>
      <c r="B62" s="27" t="n"/>
      <c r="C62" s="27" t="n"/>
      <c r="D62" s="27" t="n"/>
      <c r="E62" s="27" t="n"/>
      <c r="F62" s="28" t="n"/>
      <c r="G62" s="27" t="n"/>
      <c r="H62" s="29" t="str">
        <f>IF(OR(F62="",G62=""),"",IF(G62=0,F62,WORKDAY(F62,G62-1)))</f>
        <v/>
      </c>
      <c r="I62" s="27" t="n"/>
      <c r="J62" s="30" t="n"/>
      <c r="K62" s="27" t="n"/>
      <c r="L62" s="28" t="n"/>
      <c r="M62" s="28" t="n"/>
      <c r="N62" s="31" t="str">
        <f>IF(OR(H62="",M62=""),"",H62-M62)</f>
        <v/>
      </c>
      <c r="O62" s="32" t="str">
        <f>IF(OR(F62="",H62=""),"",IF(StatusDate&lt;F62,0,IF(StatusDate&gt;=H62,1,NETWORKDAYS(F62,StatusDate)/MAX(1,G62))))</f>
        <v/>
      </c>
      <c r="P62" s="33" t="str">
        <f>IF(B62="","",IF(AND(K62&lt;&gt;"Complete",H62&lt;&gt;"",H62&lt;StatusDate),"Overdue",IF(K62="Blocked","Blocked",IF(AND(O62&lt;&gt;"",K62&lt;&gt;"Complete",N(J62)&lt;O62-0.2),"Behind",""))))</f>
        <v/>
      </c>
      <c r="Q62" s="32" t="str">
        <f>IF(B62="","",IF(K62="Complete",1,N(J62)))</f>
        <v/>
      </c>
      <c r="R62" s="34" t="str">
        <f>IF(AND(B62&lt;&gt;"",G62=0,H62&lt;&gt;""),IF(K62&lt;&gt;"Complete",1,-1)*(H62+ROW()/100000),"")</f>
        <v/>
      </c>
      <c r="S62" s="33">
        <f>IF(OR(B62="",G62=""),0,IF(COUNTIF($A$5:$A$154,A62&amp;".*")&gt;0,0,G62))</f>
        <v>0</v>
      </c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 t="n"/>
      <c r="AF62" s="35" t="n"/>
      <c r="AG62" s="35" t="n"/>
      <c r="AH62" s="35" t="n"/>
      <c r="AI62" s="35" t="n"/>
      <c r="AJ62" s="35" t="n"/>
      <c r="AK62" s="35" t="n"/>
      <c r="AL62" s="35" t="n"/>
      <c r="AM62" s="35" t="n"/>
      <c r="AN62" s="35" t="n"/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 t="n"/>
      <c r="AZ62" s="35" t="n"/>
      <c r="BA62" s="35" t="n"/>
      <c r="BB62" s="35" t="n"/>
      <c r="BC62" s="35" t="n"/>
      <c r="BD62" s="35" t="n"/>
      <c r="BE62" s="35" t="n"/>
      <c r="BF62" s="35" t="n"/>
      <c r="BG62" s="35" t="n"/>
      <c r="BH62" s="35" t="n"/>
    </row>
    <row r="63" ht="15" customHeight="1">
      <c r="A63" s="26" t="n"/>
      <c r="B63" s="27" t="n"/>
      <c r="C63" s="27" t="n"/>
      <c r="D63" s="27" t="n"/>
      <c r="E63" s="27" t="n"/>
      <c r="F63" s="28" t="n"/>
      <c r="G63" s="27" t="n"/>
      <c r="H63" s="29" t="str">
        <f>IF(OR(F63="",G63=""),"",IF(G63=0,F63,WORKDAY(F63,G63-1)))</f>
        <v/>
      </c>
      <c r="I63" s="27" t="n"/>
      <c r="J63" s="30" t="n"/>
      <c r="K63" s="27" t="n"/>
      <c r="L63" s="28" t="n"/>
      <c r="M63" s="28" t="n"/>
      <c r="N63" s="31" t="str">
        <f>IF(OR(H63="",M63=""),"",H63-M63)</f>
        <v/>
      </c>
      <c r="O63" s="32" t="str">
        <f>IF(OR(F63="",H63=""),"",IF(StatusDate&lt;F63,0,IF(StatusDate&gt;=H63,1,NETWORKDAYS(F63,StatusDate)/MAX(1,G63))))</f>
        <v/>
      </c>
      <c r="P63" s="33" t="str">
        <f>IF(B63="","",IF(AND(K63&lt;&gt;"Complete",H63&lt;&gt;"",H63&lt;StatusDate),"Overdue",IF(K63="Blocked","Blocked",IF(AND(O63&lt;&gt;"",K63&lt;&gt;"Complete",N(J63)&lt;O63-0.2),"Behind",""))))</f>
        <v/>
      </c>
      <c r="Q63" s="32" t="str">
        <f>IF(B63="","",IF(K63="Complete",1,N(J63)))</f>
        <v/>
      </c>
      <c r="R63" s="34" t="str">
        <f>IF(AND(B63&lt;&gt;"",G63=0,H63&lt;&gt;""),IF(K63&lt;&gt;"Complete",1,-1)*(H63+ROW()/100000),"")</f>
        <v/>
      </c>
      <c r="S63" s="33">
        <f>IF(OR(B63="",G63=""),0,IF(COUNTIF($A$5:$A$154,A63&amp;".*")&gt;0,0,G63))</f>
        <v>0</v>
      </c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 t="n"/>
      <c r="AF63" s="35" t="n"/>
      <c r="AG63" s="35" t="n"/>
      <c r="AH63" s="35" t="n"/>
      <c r="AI63" s="35" t="n"/>
      <c r="AJ63" s="35" t="n"/>
      <c r="AK63" s="35" t="n"/>
      <c r="AL63" s="35" t="n"/>
      <c r="AM63" s="35" t="n"/>
      <c r="AN63" s="35" t="n"/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 t="n"/>
      <c r="AZ63" s="35" t="n"/>
      <c r="BA63" s="35" t="n"/>
      <c r="BB63" s="35" t="n"/>
      <c r="BC63" s="35" t="n"/>
      <c r="BD63" s="35" t="n"/>
      <c r="BE63" s="35" t="n"/>
      <c r="BF63" s="35" t="n"/>
      <c r="BG63" s="35" t="n"/>
      <c r="BH63" s="35" t="n"/>
    </row>
    <row r="64" ht="15" customHeight="1">
      <c r="A64" s="26" t="n"/>
      <c r="B64" s="27" t="n"/>
      <c r="C64" s="27" t="n"/>
      <c r="D64" s="27" t="n"/>
      <c r="E64" s="27" t="n"/>
      <c r="F64" s="28" t="n"/>
      <c r="G64" s="27" t="n"/>
      <c r="H64" s="29" t="str">
        <f>IF(OR(F64="",G64=""),"",IF(G64=0,F64,WORKDAY(F64,G64-1)))</f>
        <v/>
      </c>
      <c r="I64" s="27" t="n"/>
      <c r="J64" s="30" t="n"/>
      <c r="K64" s="27" t="n"/>
      <c r="L64" s="28" t="n"/>
      <c r="M64" s="28" t="n"/>
      <c r="N64" s="31" t="str">
        <f>IF(OR(H64="",M64=""),"",H64-M64)</f>
        <v/>
      </c>
      <c r="O64" s="32" t="str">
        <f>IF(OR(F64="",H64=""),"",IF(StatusDate&lt;F64,0,IF(StatusDate&gt;=H64,1,NETWORKDAYS(F64,StatusDate)/MAX(1,G64))))</f>
        <v/>
      </c>
      <c r="P64" s="33" t="str">
        <f>IF(B64="","",IF(AND(K64&lt;&gt;"Complete",H64&lt;&gt;"",H64&lt;StatusDate),"Overdue",IF(K64="Blocked","Blocked",IF(AND(O64&lt;&gt;"",K64&lt;&gt;"Complete",N(J64)&lt;O64-0.2),"Behind",""))))</f>
        <v/>
      </c>
      <c r="Q64" s="32" t="str">
        <f>IF(B64="","",IF(K64="Complete",1,N(J64)))</f>
        <v/>
      </c>
      <c r="R64" s="34" t="str">
        <f>IF(AND(B64&lt;&gt;"",G64=0,H64&lt;&gt;""),IF(K64&lt;&gt;"Complete",1,-1)*(H64+ROW()/100000),"")</f>
        <v/>
      </c>
      <c r="S64" s="33">
        <f>IF(OR(B64="",G64=""),0,IF(COUNTIF($A$5:$A$154,A64&amp;".*")&gt;0,0,G64))</f>
        <v>0</v>
      </c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 t="n"/>
      <c r="AF64" s="35" t="n"/>
      <c r="AG64" s="35" t="n"/>
      <c r="AH64" s="35" t="n"/>
      <c r="AI64" s="35" t="n"/>
      <c r="AJ64" s="35" t="n"/>
      <c r="AK64" s="35" t="n"/>
      <c r="AL64" s="35" t="n"/>
      <c r="AM64" s="35" t="n"/>
      <c r="AN64" s="35" t="n"/>
      <c r="AO64" s="35" t="n"/>
      <c r="AP64" s="35" t="n"/>
      <c r="AQ64" s="35" t="n"/>
      <c r="AR64" s="35" t="n"/>
      <c r="AS64" s="35" t="n"/>
      <c r="AT64" s="35" t="n"/>
      <c r="AU64" s="35" t="n"/>
      <c r="AV64" s="35" t="n"/>
      <c r="AW64" s="35" t="n"/>
      <c r="AX64" s="35" t="n"/>
      <c r="AY64" s="35" t="n"/>
      <c r="AZ64" s="35" t="n"/>
      <c r="BA64" s="35" t="n"/>
      <c r="BB64" s="35" t="n"/>
      <c r="BC64" s="35" t="n"/>
      <c r="BD64" s="35" t="n"/>
      <c r="BE64" s="35" t="n"/>
      <c r="BF64" s="35" t="n"/>
      <c r="BG64" s="35" t="n"/>
      <c r="BH64" s="35" t="n"/>
    </row>
    <row r="65" ht="15" customHeight="1">
      <c r="A65" s="26" t="n"/>
      <c r="B65" s="27" t="n"/>
      <c r="C65" s="27" t="n"/>
      <c r="D65" s="27" t="n"/>
      <c r="E65" s="27" t="n"/>
      <c r="F65" s="28" t="n"/>
      <c r="G65" s="27" t="n"/>
      <c r="H65" s="29" t="str">
        <f>IF(OR(F65="",G65=""),"",IF(G65=0,F65,WORKDAY(F65,G65-1)))</f>
        <v/>
      </c>
      <c r="I65" s="27" t="n"/>
      <c r="J65" s="30" t="n"/>
      <c r="K65" s="27" t="n"/>
      <c r="L65" s="28" t="n"/>
      <c r="M65" s="28" t="n"/>
      <c r="N65" s="31" t="str">
        <f>IF(OR(H65="",M65=""),"",H65-M65)</f>
        <v/>
      </c>
      <c r="O65" s="32" t="str">
        <f>IF(OR(F65="",H65=""),"",IF(StatusDate&lt;F65,0,IF(StatusDate&gt;=H65,1,NETWORKDAYS(F65,StatusDate)/MAX(1,G65))))</f>
        <v/>
      </c>
      <c r="P65" s="33" t="str">
        <f>IF(B65="","",IF(AND(K65&lt;&gt;"Complete",H65&lt;&gt;"",H65&lt;StatusDate),"Overdue",IF(K65="Blocked","Blocked",IF(AND(O65&lt;&gt;"",K65&lt;&gt;"Complete",N(J65)&lt;O65-0.2),"Behind",""))))</f>
        <v/>
      </c>
      <c r="Q65" s="32" t="str">
        <f>IF(B65="","",IF(K65="Complete",1,N(J65)))</f>
        <v/>
      </c>
      <c r="R65" s="34" t="str">
        <f>IF(AND(B65&lt;&gt;"",G65=0,H65&lt;&gt;""),IF(K65&lt;&gt;"Complete",1,-1)*(H65+ROW()/100000),"")</f>
        <v/>
      </c>
      <c r="S65" s="33">
        <f>IF(OR(B65="",G65=""),0,IF(COUNTIF($A$5:$A$154,A65&amp;".*")&gt;0,0,G65))</f>
        <v>0</v>
      </c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 t="n"/>
      <c r="AG65" s="35" t="n"/>
      <c r="AH65" s="35" t="n"/>
      <c r="AI65" s="35" t="n"/>
      <c r="AJ65" s="35" t="n"/>
      <c r="AK65" s="35" t="n"/>
      <c r="AL65" s="35" t="n"/>
      <c r="AM65" s="35" t="n"/>
      <c r="AN65" s="35" t="n"/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 t="n"/>
      <c r="AZ65" s="35" t="n"/>
      <c r="BA65" s="35" t="n"/>
      <c r="BB65" s="35" t="n"/>
      <c r="BC65" s="35" t="n"/>
      <c r="BD65" s="35" t="n"/>
      <c r="BE65" s="35" t="n"/>
      <c r="BF65" s="35" t="n"/>
      <c r="BG65" s="35" t="n"/>
      <c r="BH65" s="35" t="n"/>
    </row>
    <row r="66" ht="15" customHeight="1">
      <c r="A66" s="26" t="n"/>
      <c r="B66" s="27" t="n"/>
      <c r="C66" s="27" t="n"/>
      <c r="D66" s="27" t="n"/>
      <c r="E66" s="27" t="n"/>
      <c r="F66" s="28" t="n"/>
      <c r="G66" s="27" t="n"/>
      <c r="H66" s="29" t="str">
        <f>IF(OR(F66="",G66=""),"",IF(G66=0,F66,WORKDAY(F66,G66-1)))</f>
        <v/>
      </c>
      <c r="I66" s="27" t="n"/>
      <c r="J66" s="30" t="n"/>
      <c r="K66" s="27" t="n"/>
      <c r="L66" s="28" t="n"/>
      <c r="M66" s="28" t="n"/>
      <c r="N66" s="31" t="str">
        <f>IF(OR(H66="",M66=""),"",H66-M66)</f>
        <v/>
      </c>
      <c r="O66" s="32" t="str">
        <f>IF(OR(F66="",H66=""),"",IF(StatusDate&lt;F66,0,IF(StatusDate&gt;=H66,1,NETWORKDAYS(F66,StatusDate)/MAX(1,G66))))</f>
        <v/>
      </c>
      <c r="P66" s="33" t="str">
        <f>IF(B66="","",IF(AND(K66&lt;&gt;"Complete",H66&lt;&gt;"",H66&lt;StatusDate),"Overdue",IF(K66="Blocked","Blocked",IF(AND(O66&lt;&gt;"",K66&lt;&gt;"Complete",N(J66)&lt;O66-0.2),"Behind",""))))</f>
        <v/>
      </c>
      <c r="Q66" s="32" t="str">
        <f>IF(B66="","",IF(K66="Complete",1,N(J66)))</f>
        <v/>
      </c>
      <c r="R66" s="34" t="str">
        <f>IF(AND(B66&lt;&gt;"",G66=0,H66&lt;&gt;""),IF(K66&lt;&gt;"Complete",1,-1)*(H66+ROW()/100000),"")</f>
        <v/>
      </c>
      <c r="S66" s="33">
        <f>IF(OR(B66="",G66=""),0,IF(COUNTIF($A$5:$A$154,A66&amp;".*")&gt;0,0,G66))</f>
        <v>0</v>
      </c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  <c r="AG66" s="35" t="n"/>
      <c r="AH66" s="35" t="n"/>
      <c r="AI66" s="35" t="n"/>
      <c r="AJ66" s="35" t="n"/>
      <c r="AK66" s="35" t="n"/>
      <c r="AL66" s="35" t="n"/>
      <c r="AM66" s="35" t="n"/>
      <c r="AN66" s="35" t="n"/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 t="n"/>
      <c r="AZ66" s="35" t="n"/>
      <c r="BA66" s="35" t="n"/>
      <c r="BB66" s="35" t="n"/>
      <c r="BC66" s="35" t="n"/>
      <c r="BD66" s="35" t="n"/>
      <c r="BE66" s="35" t="n"/>
      <c r="BF66" s="35" t="n"/>
      <c r="BG66" s="35" t="n"/>
      <c r="BH66" s="35" t="n"/>
    </row>
    <row r="67" ht="15" customHeight="1">
      <c r="A67" s="26" t="n"/>
      <c r="B67" s="27" t="n"/>
      <c r="C67" s="27" t="n"/>
      <c r="D67" s="27" t="n"/>
      <c r="E67" s="27" t="n"/>
      <c r="F67" s="28" t="n"/>
      <c r="G67" s="27" t="n"/>
      <c r="H67" s="29" t="str">
        <f>IF(OR(F67="",G67=""),"",IF(G67=0,F67,WORKDAY(F67,G67-1)))</f>
        <v/>
      </c>
      <c r="I67" s="27" t="n"/>
      <c r="J67" s="30" t="n"/>
      <c r="K67" s="27" t="n"/>
      <c r="L67" s="28" t="n"/>
      <c r="M67" s="28" t="n"/>
      <c r="N67" s="31" t="str">
        <f>IF(OR(H67="",M67=""),"",H67-M67)</f>
        <v/>
      </c>
      <c r="O67" s="32" t="str">
        <f>IF(OR(F67="",H67=""),"",IF(StatusDate&lt;F67,0,IF(StatusDate&gt;=H67,1,NETWORKDAYS(F67,StatusDate)/MAX(1,G67))))</f>
        <v/>
      </c>
      <c r="P67" s="33" t="str">
        <f>IF(B67="","",IF(AND(K67&lt;&gt;"Complete",H67&lt;&gt;"",H67&lt;StatusDate),"Overdue",IF(K67="Blocked","Blocked",IF(AND(O67&lt;&gt;"",K67&lt;&gt;"Complete",N(J67)&lt;O67-0.2),"Behind",""))))</f>
        <v/>
      </c>
      <c r="Q67" s="32" t="str">
        <f>IF(B67="","",IF(K67="Complete",1,N(J67)))</f>
        <v/>
      </c>
      <c r="R67" s="34" t="str">
        <f>IF(AND(B67&lt;&gt;"",G67=0,H67&lt;&gt;""),IF(K67&lt;&gt;"Complete",1,-1)*(H67+ROW()/100000),"")</f>
        <v/>
      </c>
      <c r="S67" s="33">
        <f>IF(OR(B67="",G67=""),0,IF(COUNTIF($A$5:$A$154,A67&amp;".*")&gt;0,0,G67))</f>
        <v>0</v>
      </c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  <c r="AD67" s="35" t="n"/>
      <c r="AE67" s="35" t="n"/>
      <c r="AF67" s="35" t="n"/>
      <c r="AG67" s="35" t="n"/>
      <c r="AH67" s="35" t="n"/>
      <c r="AI67" s="35" t="n"/>
      <c r="AJ67" s="35" t="n"/>
      <c r="AK67" s="35" t="n"/>
      <c r="AL67" s="35" t="n"/>
      <c r="AM67" s="35" t="n"/>
      <c r="AN67" s="35" t="n"/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 t="n"/>
      <c r="AZ67" s="35" t="n"/>
      <c r="BA67" s="35" t="n"/>
      <c r="BB67" s="35" t="n"/>
      <c r="BC67" s="35" t="n"/>
      <c r="BD67" s="35" t="n"/>
      <c r="BE67" s="35" t="n"/>
      <c r="BF67" s="35" t="n"/>
      <c r="BG67" s="35" t="n"/>
      <c r="BH67" s="35" t="n"/>
    </row>
    <row r="68" ht="15" customHeight="1">
      <c r="A68" s="26" t="n"/>
      <c r="B68" s="27" t="n"/>
      <c r="C68" s="27" t="n"/>
      <c r="D68" s="27" t="n"/>
      <c r="E68" s="27" t="n"/>
      <c r="F68" s="28" t="n"/>
      <c r="G68" s="27" t="n"/>
      <c r="H68" s="29" t="str">
        <f>IF(OR(F68="",G68=""),"",IF(G68=0,F68,WORKDAY(F68,G68-1)))</f>
        <v/>
      </c>
      <c r="I68" s="27" t="n"/>
      <c r="J68" s="30" t="n"/>
      <c r="K68" s="27" t="n"/>
      <c r="L68" s="28" t="n"/>
      <c r="M68" s="28" t="n"/>
      <c r="N68" s="31" t="str">
        <f>IF(OR(H68="",M68=""),"",H68-M68)</f>
        <v/>
      </c>
      <c r="O68" s="32" t="str">
        <f>IF(OR(F68="",H68=""),"",IF(StatusDate&lt;F68,0,IF(StatusDate&gt;=H68,1,NETWORKDAYS(F68,StatusDate)/MAX(1,G68))))</f>
        <v/>
      </c>
      <c r="P68" s="33" t="str">
        <f>IF(B68="","",IF(AND(K68&lt;&gt;"Complete",H68&lt;&gt;"",H68&lt;StatusDate),"Overdue",IF(K68="Blocked","Blocked",IF(AND(O68&lt;&gt;"",K68&lt;&gt;"Complete",N(J68)&lt;O68-0.2),"Behind",""))))</f>
        <v/>
      </c>
      <c r="Q68" s="32" t="str">
        <f>IF(B68="","",IF(K68="Complete",1,N(J68)))</f>
        <v/>
      </c>
      <c r="R68" s="34" t="str">
        <f>IF(AND(B68&lt;&gt;"",G68=0,H68&lt;&gt;""),IF(K68&lt;&gt;"Complete",1,-1)*(H68+ROW()/100000),"")</f>
        <v/>
      </c>
      <c r="S68" s="33">
        <f>IF(OR(B68="",G68=""),0,IF(COUNTIF($A$5:$A$154,A68&amp;".*")&gt;0,0,G68))</f>
        <v>0</v>
      </c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  <c r="BC68" s="35" t="n"/>
      <c r="BD68" s="35" t="n"/>
      <c r="BE68" s="35" t="n"/>
      <c r="BF68" s="35" t="n"/>
      <c r="BG68" s="35" t="n"/>
      <c r="BH68" s="35" t="n"/>
    </row>
    <row r="69" ht="15" customHeight="1">
      <c r="A69" s="26" t="n"/>
      <c r="B69" s="27" t="n"/>
      <c r="C69" s="27" t="n"/>
      <c r="D69" s="27" t="n"/>
      <c r="E69" s="27" t="n"/>
      <c r="F69" s="28" t="n"/>
      <c r="G69" s="27" t="n"/>
      <c r="H69" s="29" t="str">
        <f>IF(OR(F69="",G69=""),"",IF(G69=0,F69,WORKDAY(F69,G69-1)))</f>
        <v/>
      </c>
      <c r="I69" s="27" t="n"/>
      <c r="J69" s="30" t="n"/>
      <c r="K69" s="27" t="n"/>
      <c r="L69" s="28" t="n"/>
      <c r="M69" s="28" t="n"/>
      <c r="N69" s="31" t="str">
        <f>IF(OR(H69="",M69=""),"",H69-M69)</f>
        <v/>
      </c>
      <c r="O69" s="32" t="str">
        <f>IF(OR(F69="",H69=""),"",IF(StatusDate&lt;F69,0,IF(StatusDate&gt;=H69,1,NETWORKDAYS(F69,StatusDate)/MAX(1,G69))))</f>
        <v/>
      </c>
      <c r="P69" s="33" t="str">
        <f>IF(B69="","",IF(AND(K69&lt;&gt;"Complete",H69&lt;&gt;"",H69&lt;StatusDate),"Overdue",IF(K69="Blocked","Blocked",IF(AND(O69&lt;&gt;"",K69&lt;&gt;"Complete",N(J69)&lt;O69-0.2),"Behind",""))))</f>
        <v/>
      </c>
      <c r="Q69" s="32" t="str">
        <f>IF(B69="","",IF(K69="Complete",1,N(J69)))</f>
        <v/>
      </c>
      <c r="R69" s="34" t="str">
        <f>IF(AND(B69&lt;&gt;"",G69=0,H69&lt;&gt;""),IF(K69&lt;&gt;"Complete",1,-1)*(H69+ROW()/100000),"")</f>
        <v/>
      </c>
      <c r="S69" s="33">
        <f>IF(OR(B69="",G69=""),0,IF(COUNTIF($A$5:$A$154,A69&amp;".*")&gt;0,0,G69))</f>
        <v>0</v>
      </c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35" t="n"/>
      <c r="BD69" s="35" t="n"/>
      <c r="BE69" s="35" t="n"/>
      <c r="BF69" s="35" t="n"/>
      <c r="BG69" s="35" t="n"/>
      <c r="BH69" s="35" t="n"/>
    </row>
    <row r="70" ht="15" customHeight="1">
      <c r="A70" s="26" t="n"/>
      <c r="B70" s="27" t="n"/>
      <c r="C70" s="27" t="n"/>
      <c r="D70" s="27" t="n"/>
      <c r="E70" s="27" t="n"/>
      <c r="F70" s="28" t="n"/>
      <c r="G70" s="27" t="n"/>
      <c r="H70" s="29" t="str">
        <f>IF(OR(F70="",G70=""),"",IF(G70=0,F70,WORKDAY(F70,G70-1)))</f>
        <v/>
      </c>
      <c r="I70" s="27" t="n"/>
      <c r="J70" s="30" t="n"/>
      <c r="K70" s="27" t="n"/>
      <c r="L70" s="28" t="n"/>
      <c r="M70" s="28" t="n"/>
      <c r="N70" s="31" t="str">
        <f>IF(OR(H70="",M70=""),"",H70-M70)</f>
        <v/>
      </c>
      <c r="O70" s="32" t="str">
        <f>IF(OR(F70="",H70=""),"",IF(StatusDate&lt;F70,0,IF(StatusDate&gt;=H70,1,NETWORKDAYS(F70,StatusDate)/MAX(1,G70))))</f>
        <v/>
      </c>
      <c r="P70" s="33" t="str">
        <f>IF(B70="","",IF(AND(K70&lt;&gt;"Complete",H70&lt;&gt;"",H70&lt;StatusDate),"Overdue",IF(K70="Blocked","Blocked",IF(AND(O70&lt;&gt;"",K70&lt;&gt;"Complete",N(J70)&lt;O70-0.2),"Behind",""))))</f>
        <v/>
      </c>
      <c r="Q70" s="32" t="str">
        <f>IF(B70="","",IF(K70="Complete",1,N(J70)))</f>
        <v/>
      </c>
      <c r="R70" s="34" t="str">
        <f>IF(AND(B70&lt;&gt;"",G70=0,H70&lt;&gt;""),IF(K70&lt;&gt;"Complete",1,-1)*(H70+ROW()/100000),"")</f>
        <v/>
      </c>
      <c r="S70" s="33">
        <f>IF(OR(B70="",G70=""),0,IF(COUNTIF($A$5:$A$154,A70&amp;".*")&gt;0,0,G70))</f>
        <v>0</v>
      </c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 t="n"/>
      <c r="AF70" s="35" t="n"/>
      <c r="AG70" s="35" t="n"/>
      <c r="AH70" s="35" t="n"/>
      <c r="AI70" s="35" t="n"/>
      <c r="AJ70" s="35" t="n"/>
      <c r="AK70" s="35" t="n"/>
      <c r="AL70" s="35" t="n"/>
      <c r="AM70" s="35" t="n"/>
      <c r="AN70" s="35" t="n"/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 t="n"/>
      <c r="AZ70" s="35" t="n"/>
      <c r="BA70" s="35" t="n"/>
      <c r="BB70" s="35" t="n"/>
      <c r="BC70" s="35" t="n"/>
      <c r="BD70" s="35" t="n"/>
      <c r="BE70" s="35" t="n"/>
      <c r="BF70" s="35" t="n"/>
      <c r="BG70" s="35" t="n"/>
      <c r="BH70" s="35" t="n"/>
    </row>
    <row r="71" ht="15" customHeight="1">
      <c r="A71" s="26" t="n"/>
      <c r="B71" s="27" t="n"/>
      <c r="C71" s="27" t="n"/>
      <c r="D71" s="27" t="n"/>
      <c r="E71" s="27" t="n"/>
      <c r="F71" s="28" t="n"/>
      <c r="G71" s="27" t="n"/>
      <c r="H71" s="29" t="str">
        <f>IF(OR(F71="",G71=""),"",IF(G71=0,F71,WORKDAY(F71,G71-1)))</f>
        <v/>
      </c>
      <c r="I71" s="27" t="n"/>
      <c r="J71" s="30" t="n"/>
      <c r="K71" s="27" t="n"/>
      <c r="L71" s="28" t="n"/>
      <c r="M71" s="28" t="n"/>
      <c r="N71" s="31" t="str">
        <f>IF(OR(H71="",M71=""),"",H71-M71)</f>
        <v/>
      </c>
      <c r="O71" s="32" t="str">
        <f>IF(OR(F71="",H71=""),"",IF(StatusDate&lt;F71,0,IF(StatusDate&gt;=H71,1,NETWORKDAYS(F71,StatusDate)/MAX(1,G71))))</f>
        <v/>
      </c>
      <c r="P71" s="33" t="str">
        <f>IF(B71="","",IF(AND(K71&lt;&gt;"Complete",H71&lt;&gt;"",H71&lt;StatusDate),"Overdue",IF(K71="Blocked","Blocked",IF(AND(O71&lt;&gt;"",K71&lt;&gt;"Complete",N(J71)&lt;O71-0.2),"Behind",""))))</f>
        <v/>
      </c>
      <c r="Q71" s="32" t="str">
        <f>IF(B71="","",IF(K71="Complete",1,N(J71)))</f>
        <v/>
      </c>
      <c r="R71" s="34" t="str">
        <f>IF(AND(B71&lt;&gt;"",G71=0,H71&lt;&gt;""),IF(K71&lt;&gt;"Complete",1,-1)*(H71+ROW()/100000),"")</f>
        <v/>
      </c>
      <c r="S71" s="33">
        <f>IF(OR(B71="",G71=""),0,IF(COUNTIF($A$5:$A$154,A71&amp;".*")&gt;0,0,G71))</f>
        <v>0</v>
      </c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  <c r="AD71" s="35" t="n"/>
      <c r="AE71" s="35" t="n"/>
      <c r="AF71" s="35" t="n"/>
      <c r="AG71" s="35" t="n"/>
      <c r="AH71" s="35" t="n"/>
      <c r="AI71" s="35" t="n"/>
      <c r="AJ71" s="35" t="n"/>
      <c r="AK71" s="35" t="n"/>
      <c r="AL71" s="35" t="n"/>
      <c r="AM71" s="35" t="n"/>
      <c r="AN71" s="35" t="n"/>
      <c r="AO71" s="35" t="n"/>
      <c r="AP71" s="35" t="n"/>
      <c r="AQ71" s="35" t="n"/>
      <c r="AR71" s="35" t="n"/>
      <c r="AS71" s="35" t="n"/>
      <c r="AT71" s="35" t="n"/>
      <c r="AU71" s="35" t="n"/>
      <c r="AV71" s="35" t="n"/>
      <c r="AW71" s="35" t="n"/>
      <c r="AX71" s="35" t="n"/>
      <c r="AY71" s="35" t="n"/>
      <c r="AZ71" s="35" t="n"/>
      <c r="BA71" s="35" t="n"/>
      <c r="BB71" s="35" t="n"/>
      <c r="BC71" s="35" t="n"/>
      <c r="BD71" s="35" t="n"/>
      <c r="BE71" s="35" t="n"/>
      <c r="BF71" s="35" t="n"/>
      <c r="BG71" s="35" t="n"/>
      <c r="BH71" s="35" t="n"/>
    </row>
    <row r="72" ht="15" customHeight="1">
      <c r="A72" s="26" t="n"/>
      <c r="B72" s="27" t="n"/>
      <c r="C72" s="27" t="n"/>
      <c r="D72" s="27" t="n"/>
      <c r="E72" s="27" t="n"/>
      <c r="F72" s="28" t="n"/>
      <c r="G72" s="27" t="n"/>
      <c r="H72" s="29" t="str">
        <f>IF(OR(F72="",G72=""),"",IF(G72=0,F72,WORKDAY(F72,G72-1)))</f>
        <v/>
      </c>
      <c r="I72" s="27" t="n"/>
      <c r="J72" s="30" t="n"/>
      <c r="K72" s="27" t="n"/>
      <c r="L72" s="28" t="n"/>
      <c r="M72" s="28" t="n"/>
      <c r="N72" s="31" t="str">
        <f>IF(OR(H72="",M72=""),"",H72-M72)</f>
        <v/>
      </c>
      <c r="O72" s="32" t="str">
        <f>IF(OR(F72="",H72=""),"",IF(StatusDate&lt;F72,0,IF(StatusDate&gt;=H72,1,NETWORKDAYS(F72,StatusDate)/MAX(1,G72))))</f>
        <v/>
      </c>
      <c r="P72" s="33" t="str">
        <f>IF(B72="","",IF(AND(K72&lt;&gt;"Complete",H72&lt;&gt;"",H72&lt;StatusDate),"Overdue",IF(K72="Blocked","Blocked",IF(AND(O72&lt;&gt;"",K72&lt;&gt;"Complete",N(J72)&lt;O72-0.2),"Behind",""))))</f>
        <v/>
      </c>
      <c r="Q72" s="32" t="str">
        <f>IF(B72="","",IF(K72="Complete",1,N(J72)))</f>
        <v/>
      </c>
      <c r="R72" s="34" t="str">
        <f>IF(AND(B72&lt;&gt;"",G72=0,H72&lt;&gt;""),IF(K72&lt;&gt;"Complete",1,-1)*(H72+ROW()/100000),"")</f>
        <v/>
      </c>
      <c r="S72" s="33">
        <f>IF(OR(B72="",G72=""),0,IF(COUNTIF($A$5:$A$154,A72&amp;".*")&gt;0,0,G72))</f>
        <v>0</v>
      </c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 t="n"/>
      <c r="AF72" s="35" t="n"/>
      <c r="AG72" s="35" t="n"/>
      <c r="AH72" s="35" t="n"/>
      <c r="AI72" s="35" t="n"/>
      <c r="AJ72" s="35" t="n"/>
      <c r="AK72" s="35" t="n"/>
      <c r="AL72" s="35" t="n"/>
      <c r="AM72" s="35" t="n"/>
      <c r="AN72" s="35" t="n"/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 t="n"/>
      <c r="AZ72" s="35" t="n"/>
      <c r="BA72" s="35" t="n"/>
      <c r="BB72" s="35" t="n"/>
      <c r="BC72" s="35" t="n"/>
      <c r="BD72" s="35" t="n"/>
      <c r="BE72" s="35" t="n"/>
      <c r="BF72" s="35" t="n"/>
      <c r="BG72" s="35" t="n"/>
      <c r="BH72" s="35" t="n"/>
    </row>
    <row r="73" ht="15" customHeight="1">
      <c r="A73" s="26" t="n"/>
      <c r="B73" s="27" t="n"/>
      <c r="C73" s="27" t="n"/>
      <c r="D73" s="27" t="n"/>
      <c r="E73" s="27" t="n"/>
      <c r="F73" s="28" t="n"/>
      <c r="G73" s="27" t="n"/>
      <c r="H73" s="29" t="str">
        <f>IF(OR(F73="",G73=""),"",IF(G73=0,F73,WORKDAY(F73,G73-1)))</f>
        <v/>
      </c>
      <c r="I73" s="27" t="n"/>
      <c r="J73" s="30" t="n"/>
      <c r="K73" s="27" t="n"/>
      <c r="L73" s="28" t="n"/>
      <c r="M73" s="28" t="n"/>
      <c r="N73" s="31" t="str">
        <f>IF(OR(H73="",M73=""),"",H73-M73)</f>
        <v/>
      </c>
      <c r="O73" s="32" t="str">
        <f>IF(OR(F73="",H73=""),"",IF(StatusDate&lt;F73,0,IF(StatusDate&gt;=H73,1,NETWORKDAYS(F73,StatusDate)/MAX(1,G73))))</f>
        <v/>
      </c>
      <c r="P73" s="33" t="str">
        <f>IF(B73="","",IF(AND(K73&lt;&gt;"Complete",H73&lt;&gt;"",H73&lt;StatusDate),"Overdue",IF(K73="Blocked","Blocked",IF(AND(O73&lt;&gt;"",K73&lt;&gt;"Complete",N(J73)&lt;O73-0.2),"Behind",""))))</f>
        <v/>
      </c>
      <c r="Q73" s="32" t="str">
        <f>IF(B73="","",IF(K73="Complete",1,N(J73)))</f>
        <v/>
      </c>
      <c r="R73" s="34" t="str">
        <f>IF(AND(B73&lt;&gt;"",G73=0,H73&lt;&gt;""),IF(K73&lt;&gt;"Complete",1,-1)*(H73+ROW()/100000),"")</f>
        <v/>
      </c>
      <c r="S73" s="33">
        <f>IF(OR(B73="",G73=""),0,IF(COUNTIF($A$5:$A$154,A73&amp;".*")&gt;0,0,G73))</f>
        <v>0</v>
      </c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 t="n"/>
      <c r="AF73" s="35" t="n"/>
      <c r="AG73" s="35" t="n"/>
      <c r="AH73" s="35" t="n"/>
      <c r="AI73" s="35" t="n"/>
      <c r="AJ73" s="35" t="n"/>
      <c r="AK73" s="35" t="n"/>
      <c r="AL73" s="35" t="n"/>
      <c r="AM73" s="35" t="n"/>
      <c r="AN73" s="35" t="n"/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 t="n"/>
      <c r="AZ73" s="35" t="n"/>
      <c r="BA73" s="35" t="n"/>
      <c r="BB73" s="35" t="n"/>
      <c r="BC73" s="35" t="n"/>
      <c r="BD73" s="35" t="n"/>
      <c r="BE73" s="35" t="n"/>
      <c r="BF73" s="35" t="n"/>
      <c r="BG73" s="35" t="n"/>
      <c r="BH73" s="35" t="n"/>
    </row>
    <row r="74" ht="15" customHeight="1">
      <c r="A74" s="26" t="n"/>
      <c r="B74" s="27" t="n"/>
      <c r="C74" s="27" t="n"/>
      <c r="D74" s="27" t="n"/>
      <c r="E74" s="27" t="n"/>
      <c r="F74" s="28" t="n"/>
      <c r="G74" s="27" t="n"/>
      <c r="H74" s="29" t="str">
        <f>IF(OR(F74="",G74=""),"",IF(G74=0,F74,WORKDAY(F74,G74-1)))</f>
        <v/>
      </c>
      <c r="I74" s="27" t="n"/>
      <c r="J74" s="30" t="n"/>
      <c r="K74" s="27" t="n"/>
      <c r="L74" s="28" t="n"/>
      <c r="M74" s="28" t="n"/>
      <c r="N74" s="31" t="str">
        <f>IF(OR(H74="",M74=""),"",H74-M74)</f>
        <v/>
      </c>
      <c r="O74" s="32" t="str">
        <f>IF(OR(F74="",H74=""),"",IF(StatusDate&lt;F74,0,IF(StatusDate&gt;=H74,1,NETWORKDAYS(F74,StatusDate)/MAX(1,G74))))</f>
        <v/>
      </c>
      <c r="P74" s="33" t="str">
        <f>IF(B74="","",IF(AND(K74&lt;&gt;"Complete",H74&lt;&gt;"",H74&lt;StatusDate),"Overdue",IF(K74="Blocked","Blocked",IF(AND(O74&lt;&gt;"",K74&lt;&gt;"Complete",N(J74)&lt;O74-0.2),"Behind",""))))</f>
        <v/>
      </c>
      <c r="Q74" s="32" t="str">
        <f>IF(B74="","",IF(K74="Complete",1,N(J74)))</f>
        <v/>
      </c>
      <c r="R74" s="34" t="str">
        <f>IF(AND(B74&lt;&gt;"",G74=0,H74&lt;&gt;""),IF(K74&lt;&gt;"Complete",1,-1)*(H74+ROW()/100000),"")</f>
        <v/>
      </c>
      <c r="S74" s="33">
        <f>IF(OR(B74="",G74=""),0,IF(COUNTIF($A$5:$A$154,A74&amp;".*")&gt;0,0,G74))</f>
        <v>0</v>
      </c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 t="n"/>
      <c r="AF74" s="35" t="n"/>
      <c r="AG74" s="35" t="n"/>
      <c r="AH74" s="35" t="n"/>
      <c r="AI74" s="35" t="n"/>
      <c r="AJ74" s="35" t="n"/>
      <c r="AK74" s="35" t="n"/>
      <c r="AL74" s="35" t="n"/>
      <c r="AM74" s="35" t="n"/>
      <c r="AN74" s="35" t="n"/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 t="n"/>
      <c r="AZ74" s="35" t="n"/>
      <c r="BA74" s="35" t="n"/>
      <c r="BB74" s="35" t="n"/>
      <c r="BC74" s="35" t="n"/>
      <c r="BD74" s="35" t="n"/>
      <c r="BE74" s="35" t="n"/>
      <c r="BF74" s="35" t="n"/>
      <c r="BG74" s="35" t="n"/>
      <c r="BH74" s="35" t="n"/>
    </row>
    <row r="75" ht="15" customHeight="1">
      <c r="A75" s="26" t="n"/>
      <c r="B75" s="27" t="n"/>
      <c r="C75" s="27" t="n"/>
      <c r="D75" s="27" t="n"/>
      <c r="E75" s="27" t="n"/>
      <c r="F75" s="28" t="n"/>
      <c r="G75" s="27" t="n"/>
      <c r="H75" s="29" t="str">
        <f>IF(OR(F75="",G75=""),"",IF(G75=0,F75,WORKDAY(F75,G75-1)))</f>
        <v/>
      </c>
      <c r="I75" s="27" t="n"/>
      <c r="J75" s="30" t="n"/>
      <c r="K75" s="27" t="n"/>
      <c r="L75" s="28" t="n"/>
      <c r="M75" s="28" t="n"/>
      <c r="N75" s="31" t="str">
        <f>IF(OR(H75="",M75=""),"",H75-M75)</f>
        <v/>
      </c>
      <c r="O75" s="32" t="str">
        <f>IF(OR(F75="",H75=""),"",IF(StatusDate&lt;F75,0,IF(StatusDate&gt;=H75,1,NETWORKDAYS(F75,StatusDate)/MAX(1,G75))))</f>
        <v/>
      </c>
      <c r="P75" s="33" t="str">
        <f>IF(B75="","",IF(AND(K75&lt;&gt;"Complete",H75&lt;&gt;"",H75&lt;StatusDate),"Overdue",IF(K75="Blocked","Blocked",IF(AND(O75&lt;&gt;"",K75&lt;&gt;"Complete",N(J75)&lt;O75-0.2),"Behind",""))))</f>
        <v/>
      </c>
      <c r="Q75" s="32" t="str">
        <f>IF(B75="","",IF(K75="Complete",1,N(J75)))</f>
        <v/>
      </c>
      <c r="R75" s="34" t="str">
        <f>IF(AND(B75&lt;&gt;"",G75=0,H75&lt;&gt;""),IF(K75&lt;&gt;"Complete",1,-1)*(H75+ROW()/100000),"")</f>
        <v/>
      </c>
      <c r="S75" s="33">
        <f>IF(OR(B75="",G75=""),0,IF(COUNTIF($A$5:$A$154,A75&amp;".*")&gt;0,0,G75))</f>
        <v>0</v>
      </c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 t="n"/>
      <c r="AF75" s="35" t="n"/>
      <c r="AG75" s="35" t="n"/>
      <c r="AH75" s="35" t="n"/>
      <c r="AI75" s="35" t="n"/>
      <c r="AJ75" s="35" t="n"/>
      <c r="AK75" s="35" t="n"/>
      <c r="AL75" s="35" t="n"/>
      <c r="AM75" s="35" t="n"/>
      <c r="AN75" s="35" t="n"/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 t="n"/>
      <c r="AZ75" s="35" t="n"/>
      <c r="BA75" s="35" t="n"/>
      <c r="BB75" s="35" t="n"/>
      <c r="BC75" s="35" t="n"/>
      <c r="BD75" s="35" t="n"/>
      <c r="BE75" s="35" t="n"/>
      <c r="BF75" s="35" t="n"/>
      <c r="BG75" s="35" t="n"/>
      <c r="BH75" s="35" t="n"/>
    </row>
    <row r="76" ht="15" customHeight="1">
      <c r="A76" s="26" t="n"/>
      <c r="B76" s="27" t="n"/>
      <c r="C76" s="27" t="n"/>
      <c r="D76" s="27" t="n"/>
      <c r="E76" s="27" t="n"/>
      <c r="F76" s="28" t="n"/>
      <c r="G76" s="27" t="n"/>
      <c r="H76" s="29" t="str">
        <f>IF(OR(F76="",G76=""),"",IF(G76=0,F76,WORKDAY(F76,G76-1)))</f>
        <v/>
      </c>
      <c r="I76" s="27" t="n"/>
      <c r="J76" s="30" t="n"/>
      <c r="K76" s="27" t="n"/>
      <c r="L76" s="28" t="n"/>
      <c r="M76" s="28" t="n"/>
      <c r="N76" s="31" t="str">
        <f>IF(OR(H76="",M76=""),"",H76-M76)</f>
        <v/>
      </c>
      <c r="O76" s="32" t="str">
        <f>IF(OR(F76="",H76=""),"",IF(StatusDate&lt;F76,0,IF(StatusDate&gt;=H76,1,NETWORKDAYS(F76,StatusDate)/MAX(1,G76))))</f>
        <v/>
      </c>
      <c r="P76" s="33" t="str">
        <f>IF(B76="","",IF(AND(K76&lt;&gt;"Complete",H76&lt;&gt;"",H76&lt;StatusDate),"Overdue",IF(K76="Blocked","Blocked",IF(AND(O76&lt;&gt;"",K76&lt;&gt;"Complete",N(J76)&lt;O76-0.2),"Behind",""))))</f>
        <v/>
      </c>
      <c r="Q76" s="32" t="str">
        <f>IF(B76="","",IF(K76="Complete",1,N(J76)))</f>
        <v/>
      </c>
      <c r="R76" s="34" t="str">
        <f>IF(AND(B76&lt;&gt;"",G76=0,H76&lt;&gt;""),IF(K76&lt;&gt;"Complete",1,-1)*(H76+ROW()/100000),"")</f>
        <v/>
      </c>
      <c r="S76" s="33">
        <f>IF(OR(B76="",G76=""),0,IF(COUNTIF($A$5:$A$154,A76&amp;".*")&gt;0,0,G76))</f>
        <v>0</v>
      </c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 t="n"/>
      <c r="AF76" s="35" t="n"/>
      <c r="AG76" s="35" t="n"/>
      <c r="AH76" s="35" t="n"/>
      <c r="AI76" s="35" t="n"/>
      <c r="AJ76" s="35" t="n"/>
      <c r="AK76" s="35" t="n"/>
      <c r="AL76" s="35" t="n"/>
      <c r="AM76" s="35" t="n"/>
      <c r="AN76" s="35" t="n"/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 t="n"/>
      <c r="AZ76" s="35" t="n"/>
      <c r="BA76" s="35" t="n"/>
      <c r="BB76" s="35" t="n"/>
      <c r="BC76" s="35" t="n"/>
      <c r="BD76" s="35" t="n"/>
      <c r="BE76" s="35" t="n"/>
      <c r="BF76" s="35" t="n"/>
      <c r="BG76" s="35" t="n"/>
      <c r="BH76" s="35" t="n"/>
    </row>
    <row r="77" ht="15" customHeight="1">
      <c r="A77" s="26" t="n"/>
      <c r="B77" s="27" t="n"/>
      <c r="C77" s="27" t="n"/>
      <c r="D77" s="27" t="n"/>
      <c r="E77" s="27" t="n"/>
      <c r="F77" s="28" t="n"/>
      <c r="G77" s="27" t="n"/>
      <c r="H77" s="29" t="str">
        <f>IF(OR(F77="",G77=""),"",IF(G77=0,F77,WORKDAY(F77,G77-1)))</f>
        <v/>
      </c>
      <c r="I77" s="27" t="n"/>
      <c r="J77" s="30" t="n"/>
      <c r="K77" s="27" t="n"/>
      <c r="L77" s="28" t="n"/>
      <c r="M77" s="28" t="n"/>
      <c r="N77" s="31" t="str">
        <f>IF(OR(H77="",M77=""),"",H77-M77)</f>
        <v/>
      </c>
      <c r="O77" s="32" t="str">
        <f>IF(OR(F77="",H77=""),"",IF(StatusDate&lt;F77,0,IF(StatusDate&gt;=H77,1,NETWORKDAYS(F77,StatusDate)/MAX(1,G77))))</f>
        <v/>
      </c>
      <c r="P77" s="33" t="str">
        <f>IF(B77="","",IF(AND(K77&lt;&gt;"Complete",H77&lt;&gt;"",H77&lt;StatusDate),"Overdue",IF(K77="Blocked","Blocked",IF(AND(O77&lt;&gt;"",K77&lt;&gt;"Complete",N(J77)&lt;O77-0.2),"Behind",""))))</f>
        <v/>
      </c>
      <c r="Q77" s="32" t="str">
        <f>IF(B77="","",IF(K77="Complete",1,N(J77)))</f>
        <v/>
      </c>
      <c r="R77" s="34" t="str">
        <f>IF(AND(B77&lt;&gt;"",G77=0,H77&lt;&gt;""),IF(K77&lt;&gt;"Complete",1,-1)*(H77+ROW()/100000),"")</f>
        <v/>
      </c>
      <c r="S77" s="33">
        <f>IF(OR(B77="",G77=""),0,IF(COUNTIF($A$5:$A$154,A77&amp;".*")&gt;0,0,G77))</f>
        <v>0</v>
      </c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 t="n"/>
      <c r="AF77" s="35" t="n"/>
      <c r="AG77" s="35" t="n"/>
      <c r="AH77" s="35" t="n"/>
      <c r="AI77" s="35" t="n"/>
      <c r="AJ77" s="35" t="n"/>
      <c r="AK77" s="35" t="n"/>
      <c r="AL77" s="35" t="n"/>
      <c r="AM77" s="35" t="n"/>
      <c r="AN77" s="35" t="n"/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 t="n"/>
      <c r="AZ77" s="35" t="n"/>
      <c r="BA77" s="35" t="n"/>
      <c r="BB77" s="35" t="n"/>
      <c r="BC77" s="35" t="n"/>
      <c r="BD77" s="35" t="n"/>
      <c r="BE77" s="35" t="n"/>
      <c r="BF77" s="35" t="n"/>
      <c r="BG77" s="35" t="n"/>
      <c r="BH77" s="35" t="n"/>
    </row>
    <row r="78" ht="15" customHeight="1">
      <c r="A78" s="26" t="n"/>
      <c r="B78" s="27" t="n"/>
      <c r="C78" s="27" t="n"/>
      <c r="D78" s="27" t="n"/>
      <c r="E78" s="27" t="n"/>
      <c r="F78" s="28" t="n"/>
      <c r="G78" s="27" t="n"/>
      <c r="H78" s="29" t="str">
        <f>IF(OR(F78="",G78=""),"",IF(G78=0,F78,WORKDAY(F78,G78-1)))</f>
        <v/>
      </c>
      <c r="I78" s="27" t="n"/>
      <c r="J78" s="30" t="n"/>
      <c r="K78" s="27" t="n"/>
      <c r="L78" s="28" t="n"/>
      <c r="M78" s="28" t="n"/>
      <c r="N78" s="31" t="str">
        <f>IF(OR(H78="",M78=""),"",H78-M78)</f>
        <v/>
      </c>
      <c r="O78" s="32" t="str">
        <f>IF(OR(F78="",H78=""),"",IF(StatusDate&lt;F78,0,IF(StatusDate&gt;=H78,1,NETWORKDAYS(F78,StatusDate)/MAX(1,G78))))</f>
        <v/>
      </c>
      <c r="P78" s="33" t="str">
        <f>IF(B78="","",IF(AND(K78&lt;&gt;"Complete",H78&lt;&gt;"",H78&lt;StatusDate),"Overdue",IF(K78="Blocked","Blocked",IF(AND(O78&lt;&gt;"",K78&lt;&gt;"Complete",N(J78)&lt;O78-0.2),"Behind",""))))</f>
        <v/>
      </c>
      <c r="Q78" s="32" t="str">
        <f>IF(B78="","",IF(K78="Complete",1,N(J78)))</f>
        <v/>
      </c>
      <c r="R78" s="34" t="str">
        <f>IF(AND(B78&lt;&gt;"",G78=0,H78&lt;&gt;""),IF(K78&lt;&gt;"Complete",1,-1)*(H78+ROW()/100000),"")</f>
        <v/>
      </c>
      <c r="S78" s="33">
        <f>IF(OR(B78="",G78=""),0,IF(COUNTIF($A$5:$A$154,A78&amp;".*")&gt;0,0,G78))</f>
        <v>0</v>
      </c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 t="n"/>
      <c r="AF78" s="35" t="n"/>
      <c r="AG78" s="35" t="n"/>
      <c r="AH78" s="35" t="n"/>
      <c r="AI78" s="35" t="n"/>
      <c r="AJ78" s="35" t="n"/>
      <c r="AK78" s="35" t="n"/>
      <c r="AL78" s="35" t="n"/>
      <c r="AM78" s="35" t="n"/>
      <c r="AN78" s="35" t="n"/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 t="n"/>
      <c r="AZ78" s="35" t="n"/>
      <c r="BA78" s="35" t="n"/>
      <c r="BB78" s="35" t="n"/>
      <c r="BC78" s="35" t="n"/>
      <c r="BD78" s="35" t="n"/>
      <c r="BE78" s="35" t="n"/>
      <c r="BF78" s="35" t="n"/>
      <c r="BG78" s="35" t="n"/>
      <c r="BH78" s="35" t="n"/>
    </row>
    <row r="79" ht="15" customHeight="1">
      <c r="A79" s="26" t="n"/>
      <c r="B79" s="27" t="n"/>
      <c r="C79" s="27" t="n"/>
      <c r="D79" s="27" t="n"/>
      <c r="E79" s="27" t="n"/>
      <c r="F79" s="28" t="n"/>
      <c r="G79" s="27" t="n"/>
      <c r="H79" s="29" t="str">
        <f>IF(OR(F79="",G79=""),"",IF(G79=0,F79,WORKDAY(F79,G79-1)))</f>
        <v/>
      </c>
      <c r="I79" s="27" t="n"/>
      <c r="J79" s="30" t="n"/>
      <c r="K79" s="27" t="n"/>
      <c r="L79" s="28" t="n"/>
      <c r="M79" s="28" t="n"/>
      <c r="N79" s="31" t="str">
        <f>IF(OR(H79="",M79=""),"",H79-M79)</f>
        <v/>
      </c>
      <c r="O79" s="32" t="str">
        <f>IF(OR(F79="",H79=""),"",IF(StatusDate&lt;F79,0,IF(StatusDate&gt;=H79,1,NETWORKDAYS(F79,StatusDate)/MAX(1,G79))))</f>
        <v/>
      </c>
      <c r="P79" s="33" t="str">
        <f>IF(B79="","",IF(AND(K79&lt;&gt;"Complete",H79&lt;&gt;"",H79&lt;StatusDate),"Overdue",IF(K79="Blocked","Blocked",IF(AND(O79&lt;&gt;"",K79&lt;&gt;"Complete",N(J79)&lt;O79-0.2),"Behind",""))))</f>
        <v/>
      </c>
      <c r="Q79" s="32" t="str">
        <f>IF(B79="","",IF(K79="Complete",1,N(J79)))</f>
        <v/>
      </c>
      <c r="R79" s="34" t="str">
        <f>IF(AND(B79&lt;&gt;"",G79=0,H79&lt;&gt;""),IF(K79&lt;&gt;"Complete",1,-1)*(H79+ROW()/100000),"")</f>
        <v/>
      </c>
      <c r="S79" s="33">
        <f>IF(OR(B79="",G79=""),0,IF(COUNTIF($A$5:$A$154,A79&amp;".*")&gt;0,0,G79))</f>
        <v>0</v>
      </c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 t="n"/>
      <c r="AF79" s="35" t="n"/>
      <c r="AG79" s="35" t="n"/>
      <c r="AH79" s="35" t="n"/>
      <c r="AI79" s="35" t="n"/>
      <c r="AJ79" s="35" t="n"/>
      <c r="AK79" s="35" t="n"/>
      <c r="AL79" s="35" t="n"/>
      <c r="AM79" s="35" t="n"/>
      <c r="AN79" s="35" t="n"/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 t="n"/>
      <c r="AZ79" s="35" t="n"/>
      <c r="BA79" s="35" t="n"/>
      <c r="BB79" s="35" t="n"/>
      <c r="BC79" s="35" t="n"/>
      <c r="BD79" s="35" t="n"/>
      <c r="BE79" s="35" t="n"/>
      <c r="BF79" s="35" t="n"/>
      <c r="BG79" s="35" t="n"/>
      <c r="BH79" s="35" t="n"/>
    </row>
    <row r="80" ht="15" customHeight="1">
      <c r="A80" s="26" t="n"/>
      <c r="B80" s="27" t="n"/>
      <c r="C80" s="27" t="n"/>
      <c r="D80" s="27" t="n"/>
      <c r="E80" s="27" t="n"/>
      <c r="F80" s="28" t="n"/>
      <c r="G80" s="27" t="n"/>
      <c r="H80" s="29" t="str">
        <f>IF(OR(F80="",G80=""),"",IF(G80=0,F80,WORKDAY(F80,G80-1)))</f>
        <v/>
      </c>
      <c r="I80" s="27" t="n"/>
      <c r="J80" s="30" t="n"/>
      <c r="K80" s="27" t="n"/>
      <c r="L80" s="28" t="n"/>
      <c r="M80" s="28" t="n"/>
      <c r="N80" s="31" t="str">
        <f>IF(OR(H80="",M80=""),"",H80-M80)</f>
        <v/>
      </c>
      <c r="O80" s="32" t="str">
        <f>IF(OR(F80="",H80=""),"",IF(StatusDate&lt;F80,0,IF(StatusDate&gt;=H80,1,NETWORKDAYS(F80,StatusDate)/MAX(1,G80))))</f>
        <v/>
      </c>
      <c r="P80" s="33" t="str">
        <f>IF(B80="","",IF(AND(K80&lt;&gt;"Complete",H80&lt;&gt;"",H80&lt;StatusDate),"Overdue",IF(K80="Blocked","Blocked",IF(AND(O80&lt;&gt;"",K80&lt;&gt;"Complete",N(J80)&lt;O80-0.2),"Behind",""))))</f>
        <v/>
      </c>
      <c r="Q80" s="32" t="str">
        <f>IF(B80="","",IF(K80="Complete",1,N(J80)))</f>
        <v/>
      </c>
      <c r="R80" s="34" t="str">
        <f>IF(AND(B80&lt;&gt;"",G80=0,H80&lt;&gt;""),IF(K80&lt;&gt;"Complete",1,-1)*(H80+ROW()/100000),"")</f>
        <v/>
      </c>
      <c r="S80" s="33">
        <f>IF(OR(B80="",G80=""),0,IF(COUNTIF($A$5:$A$154,A80&amp;".*")&gt;0,0,G80))</f>
        <v>0</v>
      </c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</row>
    <row r="81" ht="15" customHeight="1">
      <c r="A81" s="26" t="n"/>
      <c r="B81" s="27" t="n"/>
      <c r="C81" s="27" t="n"/>
      <c r="D81" s="27" t="n"/>
      <c r="E81" s="27" t="n"/>
      <c r="F81" s="28" t="n"/>
      <c r="G81" s="27" t="n"/>
      <c r="H81" s="29" t="str">
        <f>IF(OR(F81="",G81=""),"",IF(G81=0,F81,WORKDAY(F81,G81-1)))</f>
        <v/>
      </c>
      <c r="I81" s="27" t="n"/>
      <c r="J81" s="30" t="n"/>
      <c r="K81" s="27" t="n"/>
      <c r="L81" s="28" t="n"/>
      <c r="M81" s="28" t="n"/>
      <c r="N81" s="31" t="str">
        <f>IF(OR(H81="",M81=""),"",H81-M81)</f>
        <v/>
      </c>
      <c r="O81" s="32" t="str">
        <f>IF(OR(F81="",H81=""),"",IF(StatusDate&lt;F81,0,IF(StatusDate&gt;=H81,1,NETWORKDAYS(F81,StatusDate)/MAX(1,G81))))</f>
        <v/>
      </c>
      <c r="P81" s="33" t="str">
        <f>IF(B81="","",IF(AND(K81&lt;&gt;"Complete",H81&lt;&gt;"",H81&lt;StatusDate),"Overdue",IF(K81="Blocked","Blocked",IF(AND(O81&lt;&gt;"",K81&lt;&gt;"Complete",N(J81)&lt;O81-0.2),"Behind",""))))</f>
        <v/>
      </c>
      <c r="Q81" s="32" t="str">
        <f>IF(B81="","",IF(K81="Complete",1,N(J81)))</f>
        <v/>
      </c>
      <c r="R81" s="34" t="str">
        <f>IF(AND(B81&lt;&gt;"",G81=0,H81&lt;&gt;""),IF(K81&lt;&gt;"Complete",1,-1)*(H81+ROW()/100000),"")</f>
        <v/>
      </c>
      <c r="S81" s="33">
        <f>IF(OR(B81="",G81=""),0,IF(COUNTIF($A$5:$A$154,A81&amp;".*")&gt;0,0,G81))</f>
        <v>0</v>
      </c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5" t="n"/>
      <c r="AG81" s="35" t="n"/>
      <c r="AH81" s="35" t="n"/>
      <c r="AI81" s="35" t="n"/>
      <c r="AJ81" s="35" t="n"/>
      <c r="AK81" s="35" t="n"/>
      <c r="AL81" s="35" t="n"/>
      <c r="AM81" s="35" t="n"/>
      <c r="AN81" s="35" t="n"/>
      <c r="AO81" s="35" t="n"/>
      <c r="AP81" s="35" t="n"/>
      <c r="AQ81" s="35" t="n"/>
      <c r="AR81" s="35" t="n"/>
      <c r="AS81" s="35" t="n"/>
      <c r="AT81" s="35" t="n"/>
      <c r="AU81" s="35" t="n"/>
      <c r="AV81" s="35" t="n"/>
      <c r="AW81" s="35" t="n"/>
      <c r="AX81" s="35" t="n"/>
      <c r="AY81" s="35" t="n"/>
      <c r="AZ81" s="35" t="n"/>
      <c r="BA81" s="35" t="n"/>
      <c r="BB81" s="35" t="n"/>
      <c r="BC81" s="35" t="n"/>
      <c r="BD81" s="35" t="n"/>
      <c r="BE81" s="35" t="n"/>
      <c r="BF81" s="35" t="n"/>
      <c r="BG81" s="35" t="n"/>
      <c r="BH81" s="35" t="n"/>
    </row>
    <row r="82" ht="15" customHeight="1">
      <c r="A82" s="26" t="n"/>
      <c r="B82" s="27" t="n"/>
      <c r="C82" s="27" t="n"/>
      <c r="D82" s="27" t="n"/>
      <c r="E82" s="27" t="n"/>
      <c r="F82" s="28" t="n"/>
      <c r="G82" s="27" t="n"/>
      <c r="H82" s="29" t="str">
        <f>IF(OR(F82="",G82=""),"",IF(G82=0,F82,WORKDAY(F82,G82-1)))</f>
        <v/>
      </c>
      <c r="I82" s="27" t="n"/>
      <c r="J82" s="30" t="n"/>
      <c r="K82" s="27" t="n"/>
      <c r="L82" s="28" t="n"/>
      <c r="M82" s="28" t="n"/>
      <c r="N82" s="31" t="str">
        <f>IF(OR(H82="",M82=""),"",H82-M82)</f>
        <v/>
      </c>
      <c r="O82" s="32" t="str">
        <f>IF(OR(F82="",H82=""),"",IF(StatusDate&lt;F82,0,IF(StatusDate&gt;=H82,1,NETWORKDAYS(F82,StatusDate)/MAX(1,G82))))</f>
        <v/>
      </c>
      <c r="P82" s="33" t="str">
        <f>IF(B82="","",IF(AND(K82&lt;&gt;"Complete",H82&lt;&gt;"",H82&lt;StatusDate),"Overdue",IF(K82="Blocked","Blocked",IF(AND(O82&lt;&gt;"",K82&lt;&gt;"Complete",N(J82)&lt;O82-0.2),"Behind",""))))</f>
        <v/>
      </c>
      <c r="Q82" s="32" t="str">
        <f>IF(B82="","",IF(K82="Complete",1,N(J82)))</f>
        <v/>
      </c>
      <c r="R82" s="34" t="str">
        <f>IF(AND(B82&lt;&gt;"",G82=0,H82&lt;&gt;""),IF(K82&lt;&gt;"Complete",1,-1)*(H82+ROW()/100000),"")</f>
        <v/>
      </c>
      <c r="S82" s="33">
        <f>IF(OR(B82="",G82=""),0,IF(COUNTIF($A$5:$A$154,A82&amp;".*")&gt;0,0,G82))</f>
        <v>0</v>
      </c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 t="n"/>
      <c r="AF82" s="35" t="n"/>
      <c r="AG82" s="35" t="n"/>
      <c r="AH82" s="35" t="n"/>
      <c r="AI82" s="35" t="n"/>
      <c r="AJ82" s="35" t="n"/>
      <c r="AK82" s="35" t="n"/>
      <c r="AL82" s="35" t="n"/>
      <c r="AM82" s="35" t="n"/>
      <c r="AN82" s="35" t="n"/>
      <c r="AO82" s="35" t="n"/>
      <c r="AP82" s="35" t="n"/>
      <c r="AQ82" s="35" t="n"/>
      <c r="AR82" s="35" t="n"/>
      <c r="AS82" s="35" t="n"/>
      <c r="AT82" s="35" t="n"/>
      <c r="AU82" s="35" t="n"/>
      <c r="AV82" s="35" t="n"/>
      <c r="AW82" s="35" t="n"/>
      <c r="AX82" s="35" t="n"/>
      <c r="AY82" s="35" t="n"/>
      <c r="AZ82" s="35" t="n"/>
      <c r="BA82" s="35" t="n"/>
      <c r="BB82" s="35" t="n"/>
      <c r="BC82" s="35" t="n"/>
      <c r="BD82" s="35" t="n"/>
      <c r="BE82" s="35" t="n"/>
      <c r="BF82" s="35" t="n"/>
      <c r="BG82" s="35" t="n"/>
      <c r="BH82" s="35" t="n"/>
    </row>
    <row r="83" ht="15" customHeight="1">
      <c r="A83" s="26" t="n"/>
      <c r="B83" s="27" t="n"/>
      <c r="C83" s="27" t="n"/>
      <c r="D83" s="27" t="n"/>
      <c r="E83" s="27" t="n"/>
      <c r="F83" s="28" t="n"/>
      <c r="G83" s="27" t="n"/>
      <c r="H83" s="29" t="str">
        <f>IF(OR(F83="",G83=""),"",IF(G83=0,F83,WORKDAY(F83,G83-1)))</f>
        <v/>
      </c>
      <c r="I83" s="27" t="n"/>
      <c r="J83" s="30" t="n"/>
      <c r="K83" s="27" t="n"/>
      <c r="L83" s="28" t="n"/>
      <c r="M83" s="28" t="n"/>
      <c r="N83" s="31" t="str">
        <f>IF(OR(H83="",M83=""),"",H83-M83)</f>
        <v/>
      </c>
      <c r="O83" s="32" t="str">
        <f>IF(OR(F83="",H83=""),"",IF(StatusDate&lt;F83,0,IF(StatusDate&gt;=H83,1,NETWORKDAYS(F83,StatusDate)/MAX(1,G83))))</f>
        <v/>
      </c>
      <c r="P83" s="33" t="str">
        <f>IF(B83="","",IF(AND(K83&lt;&gt;"Complete",H83&lt;&gt;"",H83&lt;StatusDate),"Overdue",IF(K83="Blocked","Blocked",IF(AND(O83&lt;&gt;"",K83&lt;&gt;"Complete",N(J83)&lt;O83-0.2),"Behind",""))))</f>
        <v/>
      </c>
      <c r="Q83" s="32" t="str">
        <f>IF(B83="","",IF(K83="Complete",1,N(J83)))</f>
        <v/>
      </c>
      <c r="R83" s="34" t="str">
        <f>IF(AND(B83&lt;&gt;"",G83=0,H83&lt;&gt;""),IF(K83&lt;&gt;"Complete",1,-1)*(H83+ROW()/100000),"")</f>
        <v/>
      </c>
      <c r="S83" s="33">
        <f>IF(OR(B83="",G83=""),0,IF(COUNTIF($A$5:$A$154,A83&amp;".*")&gt;0,0,G83))</f>
        <v>0</v>
      </c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 t="n"/>
      <c r="AF83" s="35" t="n"/>
      <c r="AG83" s="35" t="n"/>
      <c r="AH83" s="35" t="n"/>
      <c r="AI83" s="35" t="n"/>
      <c r="AJ83" s="35" t="n"/>
      <c r="AK83" s="35" t="n"/>
      <c r="AL83" s="35" t="n"/>
      <c r="AM83" s="35" t="n"/>
      <c r="AN83" s="35" t="n"/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 t="n"/>
      <c r="AZ83" s="35" t="n"/>
      <c r="BA83" s="35" t="n"/>
      <c r="BB83" s="35" t="n"/>
      <c r="BC83" s="35" t="n"/>
      <c r="BD83" s="35" t="n"/>
      <c r="BE83" s="35" t="n"/>
      <c r="BF83" s="35" t="n"/>
      <c r="BG83" s="35" t="n"/>
      <c r="BH83" s="35" t="n"/>
    </row>
    <row r="84" ht="15" customHeight="1">
      <c r="A84" s="26" t="n"/>
      <c r="B84" s="27" t="n"/>
      <c r="C84" s="27" t="n"/>
      <c r="D84" s="27" t="n"/>
      <c r="E84" s="27" t="n"/>
      <c r="F84" s="28" t="n"/>
      <c r="G84" s="27" t="n"/>
      <c r="H84" s="29" t="str">
        <f>IF(OR(F84="",G84=""),"",IF(G84=0,F84,WORKDAY(F84,G84-1)))</f>
        <v/>
      </c>
      <c r="I84" s="27" t="n"/>
      <c r="J84" s="30" t="n"/>
      <c r="K84" s="27" t="n"/>
      <c r="L84" s="28" t="n"/>
      <c r="M84" s="28" t="n"/>
      <c r="N84" s="31" t="str">
        <f>IF(OR(H84="",M84=""),"",H84-M84)</f>
        <v/>
      </c>
      <c r="O84" s="32" t="str">
        <f>IF(OR(F84="",H84=""),"",IF(StatusDate&lt;F84,0,IF(StatusDate&gt;=H84,1,NETWORKDAYS(F84,StatusDate)/MAX(1,G84))))</f>
        <v/>
      </c>
      <c r="P84" s="33" t="str">
        <f>IF(B84="","",IF(AND(K84&lt;&gt;"Complete",H84&lt;&gt;"",H84&lt;StatusDate),"Overdue",IF(K84="Blocked","Blocked",IF(AND(O84&lt;&gt;"",K84&lt;&gt;"Complete",N(J84)&lt;O84-0.2),"Behind",""))))</f>
        <v/>
      </c>
      <c r="Q84" s="32" t="str">
        <f>IF(B84="","",IF(K84="Complete",1,N(J84)))</f>
        <v/>
      </c>
      <c r="R84" s="34" t="str">
        <f>IF(AND(B84&lt;&gt;"",G84=0,H84&lt;&gt;""),IF(K84&lt;&gt;"Complete",1,-1)*(H84+ROW()/100000),"")</f>
        <v/>
      </c>
      <c r="S84" s="33">
        <f>IF(OR(B84="",G84=""),0,IF(COUNTIF($A$5:$A$154,A84&amp;".*")&gt;0,0,G84))</f>
        <v>0</v>
      </c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 t="n"/>
      <c r="AF84" s="35" t="n"/>
      <c r="AG84" s="35" t="n"/>
      <c r="AH84" s="35" t="n"/>
      <c r="AI84" s="35" t="n"/>
      <c r="AJ84" s="35" t="n"/>
      <c r="AK84" s="35" t="n"/>
      <c r="AL84" s="35" t="n"/>
      <c r="AM84" s="35" t="n"/>
      <c r="AN84" s="35" t="n"/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 t="n"/>
      <c r="AZ84" s="35" t="n"/>
      <c r="BA84" s="35" t="n"/>
      <c r="BB84" s="35" t="n"/>
      <c r="BC84" s="35" t="n"/>
      <c r="BD84" s="35" t="n"/>
      <c r="BE84" s="35" t="n"/>
      <c r="BF84" s="35" t="n"/>
      <c r="BG84" s="35" t="n"/>
      <c r="BH84" s="35" t="n"/>
    </row>
    <row r="85" ht="15" customHeight="1">
      <c r="A85" s="26" t="n"/>
      <c r="B85" s="27" t="n"/>
      <c r="C85" s="27" t="n"/>
      <c r="D85" s="27" t="n"/>
      <c r="E85" s="27" t="n"/>
      <c r="F85" s="28" t="n"/>
      <c r="G85" s="27" t="n"/>
      <c r="H85" s="29" t="str">
        <f>IF(OR(F85="",G85=""),"",IF(G85=0,F85,WORKDAY(F85,G85-1)))</f>
        <v/>
      </c>
      <c r="I85" s="27" t="n"/>
      <c r="J85" s="30" t="n"/>
      <c r="K85" s="27" t="n"/>
      <c r="L85" s="28" t="n"/>
      <c r="M85" s="28" t="n"/>
      <c r="N85" s="31" t="str">
        <f>IF(OR(H85="",M85=""),"",H85-M85)</f>
        <v/>
      </c>
      <c r="O85" s="32" t="str">
        <f>IF(OR(F85="",H85=""),"",IF(StatusDate&lt;F85,0,IF(StatusDate&gt;=H85,1,NETWORKDAYS(F85,StatusDate)/MAX(1,G85))))</f>
        <v/>
      </c>
      <c r="P85" s="33" t="str">
        <f>IF(B85="","",IF(AND(K85&lt;&gt;"Complete",H85&lt;&gt;"",H85&lt;StatusDate),"Overdue",IF(K85="Blocked","Blocked",IF(AND(O85&lt;&gt;"",K85&lt;&gt;"Complete",N(J85)&lt;O85-0.2),"Behind",""))))</f>
        <v/>
      </c>
      <c r="Q85" s="32" t="str">
        <f>IF(B85="","",IF(K85="Complete",1,N(J85)))</f>
        <v/>
      </c>
      <c r="R85" s="34" t="str">
        <f>IF(AND(B85&lt;&gt;"",G85=0,H85&lt;&gt;""),IF(K85&lt;&gt;"Complete",1,-1)*(H85+ROW()/100000),"")</f>
        <v/>
      </c>
      <c r="S85" s="33">
        <f>IF(OR(B85="",G85=""),0,IF(COUNTIF($A$5:$A$154,A85&amp;".*")&gt;0,0,G85))</f>
        <v>0</v>
      </c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 t="n"/>
      <c r="AF85" s="35" t="n"/>
      <c r="AG85" s="35" t="n"/>
      <c r="AH85" s="35" t="n"/>
      <c r="AI85" s="35" t="n"/>
      <c r="AJ85" s="35" t="n"/>
      <c r="AK85" s="35" t="n"/>
      <c r="AL85" s="35" t="n"/>
      <c r="AM85" s="35" t="n"/>
      <c r="AN85" s="35" t="n"/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 t="n"/>
      <c r="AZ85" s="35" t="n"/>
      <c r="BA85" s="35" t="n"/>
      <c r="BB85" s="35" t="n"/>
      <c r="BC85" s="35" t="n"/>
      <c r="BD85" s="35" t="n"/>
      <c r="BE85" s="35" t="n"/>
      <c r="BF85" s="35" t="n"/>
      <c r="BG85" s="35" t="n"/>
      <c r="BH85" s="35" t="n"/>
    </row>
    <row r="86" ht="15" customHeight="1">
      <c r="A86" s="26" t="n"/>
      <c r="B86" s="27" t="n"/>
      <c r="C86" s="27" t="n"/>
      <c r="D86" s="27" t="n"/>
      <c r="E86" s="27" t="n"/>
      <c r="F86" s="28" t="n"/>
      <c r="G86" s="27" t="n"/>
      <c r="H86" s="29" t="str">
        <f>IF(OR(F86="",G86=""),"",IF(G86=0,F86,WORKDAY(F86,G86-1)))</f>
        <v/>
      </c>
      <c r="I86" s="27" t="n"/>
      <c r="J86" s="30" t="n"/>
      <c r="K86" s="27" t="n"/>
      <c r="L86" s="28" t="n"/>
      <c r="M86" s="28" t="n"/>
      <c r="N86" s="31" t="str">
        <f>IF(OR(H86="",M86=""),"",H86-M86)</f>
        <v/>
      </c>
      <c r="O86" s="32" t="str">
        <f>IF(OR(F86="",H86=""),"",IF(StatusDate&lt;F86,0,IF(StatusDate&gt;=H86,1,NETWORKDAYS(F86,StatusDate)/MAX(1,G86))))</f>
        <v/>
      </c>
      <c r="P86" s="33" t="str">
        <f>IF(B86="","",IF(AND(K86&lt;&gt;"Complete",H86&lt;&gt;"",H86&lt;StatusDate),"Overdue",IF(K86="Blocked","Blocked",IF(AND(O86&lt;&gt;"",K86&lt;&gt;"Complete",N(J86)&lt;O86-0.2),"Behind",""))))</f>
        <v/>
      </c>
      <c r="Q86" s="32" t="str">
        <f>IF(B86="","",IF(K86="Complete",1,N(J86)))</f>
        <v/>
      </c>
      <c r="R86" s="34" t="str">
        <f>IF(AND(B86&lt;&gt;"",G86=0,H86&lt;&gt;""),IF(K86&lt;&gt;"Complete",1,-1)*(H86+ROW()/100000),"")</f>
        <v/>
      </c>
      <c r="S86" s="33">
        <f>IF(OR(B86="",G86=""),0,IF(COUNTIF($A$5:$A$154,A86&amp;".*")&gt;0,0,G86))</f>
        <v>0</v>
      </c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 t="n"/>
      <c r="AF86" s="35" t="n"/>
      <c r="AG86" s="35" t="n"/>
      <c r="AH86" s="35" t="n"/>
      <c r="AI86" s="35" t="n"/>
      <c r="AJ86" s="35" t="n"/>
      <c r="AK86" s="35" t="n"/>
      <c r="AL86" s="35" t="n"/>
      <c r="AM86" s="35" t="n"/>
      <c r="AN86" s="35" t="n"/>
      <c r="AO86" s="35" t="n"/>
      <c r="AP86" s="35" t="n"/>
      <c r="AQ86" s="35" t="n"/>
      <c r="AR86" s="35" t="n"/>
      <c r="AS86" s="35" t="n"/>
      <c r="AT86" s="35" t="n"/>
      <c r="AU86" s="35" t="n"/>
      <c r="AV86" s="35" t="n"/>
      <c r="AW86" s="35" t="n"/>
      <c r="AX86" s="35" t="n"/>
      <c r="AY86" s="35" t="n"/>
      <c r="AZ86" s="35" t="n"/>
      <c r="BA86" s="35" t="n"/>
      <c r="BB86" s="35" t="n"/>
      <c r="BC86" s="35" t="n"/>
      <c r="BD86" s="35" t="n"/>
      <c r="BE86" s="35" t="n"/>
      <c r="BF86" s="35" t="n"/>
      <c r="BG86" s="35" t="n"/>
      <c r="BH86" s="35" t="n"/>
    </row>
    <row r="87" ht="15" customHeight="1">
      <c r="A87" s="26" t="n"/>
      <c r="B87" s="27" t="n"/>
      <c r="C87" s="27" t="n"/>
      <c r="D87" s="27" t="n"/>
      <c r="E87" s="27" t="n"/>
      <c r="F87" s="28" t="n"/>
      <c r="G87" s="27" t="n"/>
      <c r="H87" s="29" t="str">
        <f>IF(OR(F87="",G87=""),"",IF(G87=0,F87,WORKDAY(F87,G87-1)))</f>
        <v/>
      </c>
      <c r="I87" s="27" t="n"/>
      <c r="J87" s="30" t="n"/>
      <c r="K87" s="27" t="n"/>
      <c r="L87" s="28" t="n"/>
      <c r="M87" s="28" t="n"/>
      <c r="N87" s="31" t="str">
        <f>IF(OR(H87="",M87=""),"",H87-M87)</f>
        <v/>
      </c>
      <c r="O87" s="32" t="str">
        <f>IF(OR(F87="",H87=""),"",IF(StatusDate&lt;F87,0,IF(StatusDate&gt;=H87,1,NETWORKDAYS(F87,StatusDate)/MAX(1,G87))))</f>
        <v/>
      </c>
      <c r="P87" s="33" t="str">
        <f>IF(B87="","",IF(AND(K87&lt;&gt;"Complete",H87&lt;&gt;"",H87&lt;StatusDate),"Overdue",IF(K87="Blocked","Blocked",IF(AND(O87&lt;&gt;"",K87&lt;&gt;"Complete",N(J87)&lt;O87-0.2),"Behind",""))))</f>
        <v/>
      </c>
      <c r="Q87" s="32" t="str">
        <f>IF(B87="","",IF(K87="Complete",1,N(J87)))</f>
        <v/>
      </c>
      <c r="R87" s="34" t="str">
        <f>IF(AND(B87&lt;&gt;"",G87=0,H87&lt;&gt;""),IF(K87&lt;&gt;"Complete",1,-1)*(H87+ROW()/100000),"")</f>
        <v/>
      </c>
      <c r="S87" s="33">
        <f>IF(OR(B87="",G87=""),0,IF(COUNTIF($A$5:$A$154,A87&amp;".*")&gt;0,0,G87))</f>
        <v>0</v>
      </c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 t="n"/>
      <c r="AF87" s="35" t="n"/>
      <c r="AG87" s="35" t="n"/>
      <c r="AH87" s="35" t="n"/>
      <c r="AI87" s="35" t="n"/>
      <c r="AJ87" s="35" t="n"/>
      <c r="AK87" s="35" t="n"/>
      <c r="AL87" s="35" t="n"/>
      <c r="AM87" s="35" t="n"/>
      <c r="AN87" s="35" t="n"/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 t="n"/>
      <c r="AZ87" s="35" t="n"/>
      <c r="BA87" s="35" t="n"/>
      <c r="BB87" s="35" t="n"/>
      <c r="BC87" s="35" t="n"/>
      <c r="BD87" s="35" t="n"/>
      <c r="BE87" s="35" t="n"/>
      <c r="BF87" s="35" t="n"/>
      <c r="BG87" s="35" t="n"/>
      <c r="BH87" s="35" t="n"/>
    </row>
    <row r="88" ht="15" customHeight="1">
      <c r="A88" s="26" t="n"/>
      <c r="B88" s="27" t="n"/>
      <c r="C88" s="27" t="n"/>
      <c r="D88" s="27" t="n"/>
      <c r="E88" s="27" t="n"/>
      <c r="F88" s="28" t="n"/>
      <c r="G88" s="27" t="n"/>
      <c r="H88" s="29" t="str">
        <f>IF(OR(F88="",G88=""),"",IF(G88=0,F88,WORKDAY(F88,G88-1)))</f>
        <v/>
      </c>
      <c r="I88" s="27" t="n"/>
      <c r="J88" s="30" t="n"/>
      <c r="K88" s="27" t="n"/>
      <c r="L88" s="28" t="n"/>
      <c r="M88" s="28" t="n"/>
      <c r="N88" s="31" t="str">
        <f>IF(OR(H88="",M88=""),"",H88-M88)</f>
        <v/>
      </c>
      <c r="O88" s="32" t="str">
        <f>IF(OR(F88="",H88=""),"",IF(StatusDate&lt;F88,0,IF(StatusDate&gt;=H88,1,NETWORKDAYS(F88,StatusDate)/MAX(1,G88))))</f>
        <v/>
      </c>
      <c r="P88" s="33" t="str">
        <f>IF(B88="","",IF(AND(K88&lt;&gt;"Complete",H88&lt;&gt;"",H88&lt;StatusDate),"Overdue",IF(K88="Blocked","Blocked",IF(AND(O88&lt;&gt;"",K88&lt;&gt;"Complete",N(J88)&lt;O88-0.2),"Behind",""))))</f>
        <v/>
      </c>
      <c r="Q88" s="32" t="str">
        <f>IF(B88="","",IF(K88="Complete",1,N(J88)))</f>
        <v/>
      </c>
      <c r="R88" s="34" t="str">
        <f>IF(AND(B88&lt;&gt;"",G88=0,H88&lt;&gt;""),IF(K88&lt;&gt;"Complete",1,-1)*(H88+ROW()/100000),"")</f>
        <v/>
      </c>
      <c r="S88" s="33">
        <f>IF(OR(B88="",G88=""),0,IF(COUNTIF($A$5:$A$154,A88&amp;".*")&gt;0,0,G88))</f>
        <v>0</v>
      </c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 t="n"/>
      <c r="AF88" s="35" t="n"/>
      <c r="AG88" s="35" t="n"/>
      <c r="AH88" s="35" t="n"/>
      <c r="AI88" s="35" t="n"/>
      <c r="AJ88" s="35" t="n"/>
      <c r="AK88" s="35" t="n"/>
      <c r="AL88" s="35" t="n"/>
      <c r="AM88" s="35" t="n"/>
      <c r="AN88" s="35" t="n"/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 t="n"/>
      <c r="AZ88" s="35" t="n"/>
      <c r="BA88" s="35" t="n"/>
      <c r="BB88" s="35" t="n"/>
      <c r="BC88" s="35" t="n"/>
      <c r="BD88" s="35" t="n"/>
      <c r="BE88" s="35" t="n"/>
      <c r="BF88" s="35" t="n"/>
      <c r="BG88" s="35" t="n"/>
      <c r="BH88" s="35" t="n"/>
    </row>
    <row r="89" ht="15" customHeight="1">
      <c r="A89" s="26" t="n"/>
      <c r="B89" s="27" t="n"/>
      <c r="C89" s="27" t="n"/>
      <c r="D89" s="27" t="n"/>
      <c r="E89" s="27" t="n"/>
      <c r="F89" s="28" t="n"/>
      <c r="G89" s="27" t="n"/>
      <c r="H89" s="29" t="str">
        <f>IF(OR(F89="",G89=""),"",IF(G89=0,F89,WORKDAY(F89,G89-1)))</f>
        <v/>
      </c>
      <c r="I89" s="27" t="n"/>
      <c r="J89" s="30" t="n"/>
      <c r="K89" s="27" t="n"/>
      <c r="L89" s="28" t="n"/>
      <c r="M89" s="28" t="n"/>
      <c r="N89" s="31" t="str">
        <f>IF(OR(H89="",M89=""),"",H89-M89)</f>
        <v/>
      </c>
      <c r="O89" s="32" t="str">
        <f>IF(OR(F89="",H89=""),"",IF(StatusDate&lt;F89,0,IF(StatusDate&gt;=H89,1,NETWORKDAYS(F89,StatusDate)/MAX(1,G89))))</f>
        <v/>
      </c>
      <c r="P89" s="33" t="str">
        <f>IF(B89="","",IF(AND(K89&lt;&gt;"Complete",H89&lt;&gt;"",H89&lt;StatusDate),"Overdue",IF(K89="Blocked","Blocked",IF(AND(O89&lt;&gt;"",K89&lt;&gt;"Complete",N(J89)&lt;O89-0.2),"Behind",""))))</f>
        <v/>
      </c>
      <c r="Q89" s="32" t="str">
        <f>IF(B89="","",IF(K89="Complete",1,N(J89)))</f>
        <v/>
      </c>
      <c r="R89" s="34" t="str">
        <f>IF(AND(B89&lt;&gt;"",G89=0,H89&lt;&gt;""),IF(K89&lt;&gt;"Complete",1,-1)*(H89+ROW()/100000),"")</f>
        <v/>
      </c>
      <c r="S89" s="33">
        <f>IF(OR(B89="",G89=""),0,IF(COUNTIF($A$5:$A$154,A89&amp;".*")&gt;0,0,G89))</f>
        <v>0</v>
      </c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 t="n"/>
      <c r="AF89" s="35" t="n"/>
      <c r="AG89" s="35" t="n"/>
      <c r="AH89" s="35" t="n"/>
      <c r="AI89" s="35" t="n"/>
      <c r="AJ89" s="35" t="n"/>
      <c r="AK89" s="35" t="n"/>
      <c r="AL89" s="35" t="n"/>
      <c r="AM89" s="35" t="n"/>
      <c r="AN89" s="35" t="n"/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 t="n"/>
      <c r="AZ89" s="35" t="n"/>
      <c r="BA89" s="35" t="n"/>
      <c r="BB89" s="35" t="n"/>
      <c r="BC89" s="35" t="n"/>
      <c r="BD89" s="35" t="n"/>
      <c r="BE89" s="35" t="n"/>
      <c r="BF89" s="35" t="n"/>
      <c r="BG89" s="35" t="n"/>
      <c r="BH89" s="35" t="n"/>
    </row>
    <row r="90" ht="15" customHeight="1">
      <c r="A90" s="26" t="n"/>
      <c r="B90" s="27" t="n"/>
      <c r="C90" s="27" t="n"/>
      <c r="D90" s="27" t="n"/>
      <c r="E90" s="27" t="n"/>
      <c r="F90" s="28" t="n"/>
      <c r="G90" s="27" t="n"/>
      <c r="H90" s="29" t="str">
        <f>IF(OR(F90="",G90=""),"",IF(G90=0,F90,WORKDAY(F90,G90-1)))</f>
        <v/>
      </c>
      <c r="I90" s="27" t="n"/>
      <c r="J90" s="30" t="n"/>
      <c r="K90" s="27" t="n"/>
      <c r="L90" s="28" t="n"/>
      <c r="M90" s="28" t="n"/>
      <c r="N90" s="31" t="str">
        <f>IF(OR(H90="",M90=""),"",H90-M90)</f>
        <v/>
      </c>
      <c r="O90" s="32" t="str">
        <f>IF(OR(F90="",H90=""),"",IF(StatusDate&lt;F90,0,IF(StatusDate&gt;=H90,1,NETWORKDAYS(F90,StatusDate)/MAX(1,G90))))</f>
        <v/>
      </c>
      <c r="P90" s="33" t="str">
        <f>IF(B90="","",IF(AND(K90&lt;&gt;"Complete",H90&lt;&gt;"",H90&lt;StatusDate),"Overdue",IF(K90="Blocked","Blocked",IF(AND(O90&lt;&gt;"",K90&lt;&gt;"Complete",N(J90)&lt;O90-0.2),"Behind",""))))</f>
        <v/>
      </c>
      <c r="Q90" s="32" t="str">
        <f>IF(B90="","",IF(K90="Complete",1,N(J90)))</f>
        <v/>
      </c>
      <c r="R90" s="34" t="str">
        <f>IF(AND(B90&lt;&gt;"",G90=0,H90&lt;&gt;""),IF(K90&lt;&gt;"Complete",1,-1)*(H90+ROW()/100000),"")</f>
        <v/>
      </c>
      <c r="S90" s="33">
        <f>IF(OR(B90="",G90=""),0,IF(COUNTIF($A$5:$A$154,A90&amp;".*")&gt;0,0,G90))</f>
        <v>0</v>
      </c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 t="n"/>
      <c r="AF90" s="35" t="n"/>
      <c r="AG90" s="35" t="n"/>
      <c r="AH90" s="35" t="n"/>
      <c r="AI90" s="35" t="n"/>
      <c r="AJ90" s="35" t="n"/>
      <c r="AK90" s="35" t="n"/>
      <c r="AL90" s="35" t="n"/>
      <c r="AM90" s="35" t="n"/>
      <c r="AN90" s="35" t="n"/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 t="n"/>
      <c r="AZ90" s="35" t="n"/>
      <c r="BA90" s="35" t="n"/>
      <c r="BB90" s="35" t="n"/>
      <c r="BC90" s="35" t="n"/>
      <c r="BD90" s="35" t="n"/>
      <c r="BE90" s="35" t="n"/>
      <c r="BF90" s="35" t="n"/>
      <c r="BG90" s="35" t="n"/>
      <c r="BH90" s="35" t="n"/>
    </row>
    <row r="91" ht="15" customHeight="1">
      <c r="A91" s="26" t="n"/>
      <c r="B91" s="27" t="n"/>
      <c r="C91" s="27" t="n"/>
      <c r="D91" s="27" t="n"/>
      <c r="E91" s="27" t="n"/>
      <c r="F91" s="28" t="n"/>
      <c r="G91" s="27" t="n"/>
      <c r="H91" s="29" t="str">
        <f>IF(OR(F91="",G91=""),"",IF(G91=0,F91,WORKDAY(F91,G91-1)))</f>
        <v/>
      </c>
      <c r="I91" s="27" t="n"/>
      <c r="J91" s="30" t="n"/>
      <c r="K91" s="27" t="n"/>
      <c r="L91" s="28" t="n"/>
      <c r="M91" s="28" t="n"/>
      <c r="N91" s="31" t="str">
        <f>IF(OR(H91="",M91=""),"",H91-M91)</f>
        <v/>
      </c>
      <c r="O91" s="32" t="str">
        <f>IF(OR(F91="",H91=""),"",IF(StatusDate&lt;F91,0,IF(StatusDate&gt;=H91,1,NETWORKDAYS(F91,StatusDate)/MAX(1,G91))))</f>
        <v/>
      </c>
      <c r="P91" s="33" t="str">
        <f>IF(B91="","",IF(AND(K91&lt;&gt;"Complete",H91&lt;&gt;"",H91&lt;StatusDate),"Overdue",IF(K91="Blocked","Blocked",IF(AND(O91&lt;&gt;"",K91&lt;&gt;"Complete",N(J91)&lt;O91-0.2),"Behind",""))))</f>
        <v/>
      </c>
      <c r="Q91" s="32" t="str">
        <f>IF(B91="","",IF(K91="Complete",1,N(J91)))</f>
        <v/>
      </c>
      <c r="R91" s="34" t="str">
        <f>IF(AND(B91&lt;&gt;"",G91=0,H91&lt;&gt;""),IF(K91&lt;&gt;"Complete",1,-1)*(H91+ROW()/100000),"")</f>
        <v/>
      </c>
      <c r="S91" s="33">
        <f>IF(OR(B91="",G91=""),0,IF(COUNTIF($A$5:$A$154,A91&amp;".*")&gt;0,0,G91))</f>
        <v>0</v>
      </c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 t="n"/>
      <c r="AF91" s="35" t="n"/>
      <c r="AG91" s="35" t="n"/>
      <c r="AH91" s="35" t="n"/>
      <c r="AI91" s="35" t="n"/>
      <c r="AJ91" s="35" t="n"/>
      <c r="AK91" s="35" t="n"/>
      <c r="AL91" s="35" t="n"/>
      <c r="AM91" s="35" t="n"/>
      <c r="AN91" s="35" t="n"/>
      <c r="AO91" s="35" t="n"/>
      <c r="AP91" s="35" t="n"/>
      <c r="AQ91" s="35" t="n"/>
      <c r="AR91" s="35" t="n"/>
      <c r="AS91" s="35" t="n"/>
      <c r="AT91" s="35" t="n"/>
      <c r="AU91" s="35" t="n"/>
      <c r="AV91" s="35" t="n"/>
      <c r="AW91" s="35" t="n"/>
      <c r="AX91" s="35" t="n"/>
      <c r="AY91" s="35" t="n"/>
      <c r="AZ91" s="35" t="n"/>
      <c r="BA91" s="35" t="n"/>
      <c r="BB91" s="35" t="n"/>
      <c r="BC91" s="35" t="n"/>
      <c r="BD91" s="35" t="n"/>
      <c r="BE91" s="35" t="n"/>
      <c r="BF91" s="35" t="n"/>
      <c r="BG91" s="35" t="n"/>
      <c r="BH91" s="35" t="n"/>
    </row>
    <row r="92" ht="15" customHeight="1">
      <c r="A92" s="26" t="n"/>
      <c r="B92" s="27" t="n"/>
      <c r="C92" s="27" t="n"/>
      <c r="D92" s="27" t="n"/>
      <c r="E92" s="27" t="n"/>
      <c r="F92" s="28" t="n"/>
      <c r="G92" s="27" t="n"/>
      <c r="H92" s="29" t="str">
        <f>IF(OR(F92="",G92=""),"",IF(G92=0,F92,WORKDAY(F92,G92-1)))</f>
        <v/>
      </c>
      <c r="I92" s="27" t="n"/>
      <c r="J92" s="30" t="n"/>
      <c r="K92" s="27" t="n"/>
      <c r="L92" s="28" t="n"/>
      <c r="M92" s="28" t="n"/>
      <c r="N92" s="31" t="str">
        <f>IF(OR(H92="",M92=""),"",H92-M92)</f>
        <v/>
      </c>
      <c r="O92" s="32" t="str">
        <f>IF(OR(F92="",H92=""),"",IF(StatusDate&lt;F92,0,IF(StatusDate&gt;=H92,1,NETWORKDAYS(F92,StatusDate)/MAX(1,G92))))</f>
        <v/>
      </c>
      <c r="P92" s="33" t="str">
        <f>IF(B92="","",IF(AND(K92&lt;&gt;"Complete",H92&lt;&gt;"",H92&lt;StatusDate),"Overdue",IF(K92="Blocked","Blocked",IF(AND(O92&lt;&gt;"",K92&lt;&gt;"Complete",N(J92)&lt;O92-0.2),"Behind",""))))</f>
        <v/>
      </c>
      <c r="Q92" s="32" t="str">
        <f>IF(B92="","",IF(K92="Complete",1,N(J92)))</f>
        <v/>
      </c>
      <c r="R92" s="34" t="str">
        <f>IF(AND(B92&lt;&gt;"",G92=0,H92&lt;&gt;""),IF(K92&lt;&gt;"Complete",1,-1)*(H92+ROW()/100000),"")</f>
        <v/>
      </c>
      <c r="S92" s="33">
        <f>IF(OR(B92="",G92=""),0,IF(COUNTIF($A$5:$A$154,A92&amp;".*")&gt;0,0,G92))</f>
        <v>0</v>
      </c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 t="n"/>
      <c r="AF92" s="35" t="n"/>
      <c r="AG92" s="35" t="n"/>
      <c r="AH92" s="35" t="n"/>
      <c r="AI92" s="35" t="n"/>
      <c r="AJ92" s="35" t="n"/>
      <c r="AK92" s="35" t="n"/>
      <c r="AL92" s="35" t="n"/>
      <c r="AM92" s="35" t="n"/>
      <c r="AN92" s="35" t="n"/>
      <c r="AO92" s="35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 t="n"/>
      <c r="AZ92" s="35" t="n"/>
      <c r="BA92" s="35" t="n"/>
      <c r="BB92" s="35" t="n"/>
      <c r="BC92" s="35" t="n"/>
      <c r="BD92" s="35" t="n"/>
      <c r="BE92" s="35" t="n"/>
      <c r="BF92" s="35" t="n"/>
      <c r="BG92" s="35" t="n"/>
      <c r="BH92" s="35" t="n"/>
    </row>
    <row r="93" ht="15" customHeight="1">
      <c r="A93" s="26" t="n"/>
      <c r="B93" s="27" t="n"/>
      <c r="C93" s="27" t="n"/>
      <c r="D93" s="27" t="n"/>
      <c r="E93" s="27" t="n"/>
      <c r="F93" s="28" t="n"/>
      <c r="G93" s="27" t="n"/>
      <c r="H93" s="29" t="str">
        <f>IF(OR(F93="",G93=""),"",IF(G93=0,F93,WORKDAY(F93,G93-1)))</f>
        <v/>
      </c>
      <c r="I93" s="27" t="n"/>
      <c r="J93" s="30" t="n"/>
      <c r="K93" s="27" t="n"/>
      <c r="L93" s="28" t="n"/>
      <c r="M93" s="28" t="n"/>
      <c r="N93" s="31" t="str">
        <f>IF(OR(H93="",M93=""),"",H93-M93)</f>
        <v/>
      </c>
      <c r="O93" s="32" t="str">
        <f>IF(OR(F93="",H93=""),"",IF(StatusDate&lt;F93,0,IF(StatusDate&gt;=H93,1,NETWORKDAYS(F93,StatusDate)/MAX(1,G93))))</f>
        <v/>
      </c>
      <c r="P93" s="33" t="str">
        <f>IF(B93="","",IF(AND(K93&lt;&gt;"Complete",H93&lt;&gt;"",H93&lt;StatusDate),"Overdue",IF(K93="Blocked","Blocked",IF(AND(O93&lt;&gt;"",K93&lt;&gt;"Complete",N(J93)&lt;O93-0.2),"Behind",""))))</f>
        <v/>
      </c>
      <c r="Q93" s="32" t="str">
        <f>IF(B93="","",IF(K93="Complete",1,N(J93)))</f>
        <v/>
      </c>
      <c r="R93" s="34" t="str">
        <f>IF(AND(B93&lt;&gt;"",G93=0,H93&lt;&gt;""),IF(K93&lt;&gt;"Complete",1,-1)*(H93+ROW()/100000),"")</f>
        <v/>
      </c>
      <c r="S93" s="33">
        <f>IF(OR(B93="",G93=""),0,IF(COUNTIF($A$5:$A$154,A93&amp;".*")&gt;0,0,G93))</f>
        <v>0</v>
      </c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 t="n"/>
      <c r="AF93" s="35" t="n"/>
      <c r="AG93" s="35" t="n"/>
      <c r="AH93" s="35" t="n"/>
      <c r="AI93" s="35" t="n"/>
      <c r="AJ93" s="35" t="n"/>
      <c r="AK93" s="35" t="n"/>
      <c r="AL93" s="35" t="n"/>
      <c r="AM93" s="35" t="n"/>
      <c r="AN93" s="35" t="n"/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 t="n"/>
      <c r="AZ93" s="35" t="n"/>
      <c r="BA93" s="35" t="n"/>
      <c r="BB93" s="35" t="n"/>
      <c r="BC93" s="35" t="n"/>
      <c r="BD93" s="35" t="n"/>
      <c r="BE93" s="35" t="n"/>
      <c r="BF93" s="35" t="n"/>
      <c r="BG93" s="35" t="n"/>
      <c r="BH93" s="35" t="n"/>
    </row>
    <row r="94" ht="15" customHeight="1">
      <c r="A94" s="26" t="n"/>
      <c r="B94" s="27" t="n"/>
      <c r="C94" s="27" t="n"/>
      <c r="D94" s="27" t="n"/>
      <c r="E94" s="27" t="n"/>
      <c r="F94" s="28" t="n"/>
      <c r="G94" s="27" t="n"/>
      <c r="H94" s="29" t="str">
        <f>IF(OR(F94="",G94=""),"",IF(G94=0,F94,WORKDAY(F94,G94-1)))</f>
        <v/>
      </c>
      <c r="I94" s="27" t="n"/>
      <c r="J94" s="30" t="n"/>
      <c r="K94" s="27" t="n"/>
      <c r="L94" s="28" t="n"/>
      <c r="M94" s="28" t="n"/>
      <c r="N94" s="31" t="str">
        <f>IF(OR(H94="",M94=""),"",H94-M94)</f>
        <v/>
      </c>
      <c r="O94" s="32" t="str">
        <f>IF(OR(F94="",H94=""),"",IF(StatusDate&lt;F94,0,IF(StatusDate&gt;=H94,1,NETWORKDAYS(F94,StatusDate)/MAX(1,G94))))</f>
        <v/>
      </c>
      <c r="P94" s="33" t="str">
        <f>IF(B94="","",IF(AND(K94&lt;&gt;"Complete",H94&lt;&gt;"",H94&lt;StatusDate),"Overdue",IF(K94="Blocked","Blocked",IF(AND(O94&lt;&gt;"",K94&lt;&gt;"Complete",N(J94)&lt;O94-0.2),"Behind",""))))</f>
        <v/>
      </c>
      <c r="Q94" s="32" t="str">
        <f>IF(B94="","",IF(K94="Complete",1,N(J94)))</f>
        <v/>
      </c>
      <c r="R94" s="34" t="str">
        <f>IF(AND(B94&lt;&gt;"",G94=0,H94&lt;&gt;""),IF(K94&lt;&gt;"Complete",1,-1)*(H94+ROW()/100000),"")</f>
        <v/>
      </c>
      <c r="S94" s="33">
        <f>IF(OR(B94="",G94=""),0,IF(COUNTIF($A$5:$A$154,A94&amp;".*")&gt;0,0,G94))</f>
        <v>0</v>
      </c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 t="n"/>
      <c r="AF94" s="35" t="n"/>
      <c r="AG94" s="35" t="n"/>
      <c r="AH94" s="35" t="n"/>
      <c r="AI94" s="35" t="n"/>
      <c r="AJ94" s="35" t="n"/>
      <c r="AK94" s="35" t="n"/>
      <c r="AL94" s="35" t="n"/>
      <c r="AM94" s="35" t="n"/>
      <c r="AN94" s="35" t="n"/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 t="n"/>
      <c r="AZ94" s="35" t="n"/>
      <c r="BA94" s="35" t="n"/>
      <c r="BB94" s="35" t="n"/>
      <c r="BC94" s="35" t="n"/>
      <c r="BD94" s="35" t="n"/>
      <c r="BE94" s="35" t="n"/>
      <c r="BF94" s="35" t="n"/>
      <c r="BG94" s="35" t="n"/>
      <c r="BH94" s="35" t="n"/>
    </row>
    <row r="95" ht="15" customHeight="1">
      <c r="A95" s="26" t="n"/>
      <c r="B95" s="27" t="n"/>
      <c r="C95" s="27" t="n"/>
      <c r="D95" s="27" t="n"/>
      <c r="E95" s="27" t="n"/>
      <c r="F95" s="28" t="n"/>
      <c r="G95" s="27" t="n"/>
      <c r="H95" s="29" t="str">
        <f>IF(OR(F95="",G95=""),"",IF(G95=0,F95,WORKDAY(F95,G95-1)))</f>
        <v/>
      </c>
      <c r="I95" s="27" t="n"/>
      <c r="J95" s="30" t="n"/>
      <c r="K95" s="27" t="n"/>
      <c r="L95" s="28" t="n"/>
      <c r="M95" s="28" t="n"/>
      <c r="N95" s="31" t="str">
        <f>IF(OR(H95="",M95=""),"",H95-M95)</f>
        <v/>
      </c>
      <c r="O95" s="32" t="str">
        <f>IF(OR(F95="",H95=""),"",IF(StatusDate&lt;F95,0,IF(StatusDate&gt;=H95,1,NETWORKDAYS(F95,StatusDate)/MAX(1,G95))))</f>
        <v/>
      </c>
      <c r="P95" s="33" t="str">
        <f>IF(B95="","",IF(AND(K95&lt;&gt;"Complete",H95&lt;&gt;"",H95&lt;StatusDate),"Overdue",IF(K95="Blocked","Blocked",IF(AND(O95&lt;&gt;"",K95&lt;&gt;"Complete",N(J95)&lt;O95-0.2),"Behind",""))))</f>
        <v/>
      </c>
      <c r="Q95" s="32" t="str">
        <f>IF(B95="","",IF(K95="Complete",1,N(J95)))</f>
        <v/>
      </c>
      <c r="R95" s="34" t="str">
        <f>IF(AND(B95&lt;&gt;"",G95=0,H95&lt;&gt;""),IF(K95&lt;&gt;"Complete",1,-1)*(H95+ROW()/100000),"")</f>
        <v/>
      </c>
      <c r="S95" s="33">
        <f>IF(OR(B95="",G95=""),0,IF(COUNTIF($A$5:$A$154,A95&amp;".*")&gt;0,0,G95))</f>
        <v>0</v>
      </c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 t="n"/>
      <c r="AF95" s="35" t="n"/>
      <c r="AG95" s="35" t="n"/>
      <c r="AH95" s="35" t="n"/>
      <c r="AI95" s="35" t="n"/>
      <c r="AJ95" s="35" t="n"/>
      <c r="AK95" s="35" t="n"/>
      <c r="AL95" s="35" t="n"/>
      <c r="AM95" s="35" t="n"/>
      <c r="AN95" s="35" t="n"/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 t="n"/>
      <c r="AZ95" s="35" t="n"/>
      <c r="BA95" s="35" t="n"/>
      <c r="BB95" s="35" t="n"/>
      <c r="BC95" s="35" t="n"/>
      <c r="BD95" s="35" t="n"/>
      <c r="BE95" s="35" t="n"/>
      <c r="BF95" s="35" t="n"/>
      <c r="BG95" s="35" t="n"/>
      <c r="BH95" s="35" t="n"/>
    </row>
    <row r="96" ht="15" customHeight="1">
      <c r="A96" s="26" t="n"/>
      <c r="B96" s="27" t="n"/>
      <c r="C96" s="27" t="n"/>
      <c r="D96" s="27" t="n"/>
      <c r="E96" s="27" t="n"/>
      <c r="F96" s="28" t="n"/>
      <c r="G96" s="27" t="n"/>
      <c r="H96" s="29" t="str">
        <f>IF(OR(F96="",G96=""),"",IF(G96=0,F96,WORKDAY(F96,G96-1)))</f>
        <v/>
      </c>
      <c r="I96" s="27" t="n"/>
      <c r="J96" s="30" t="n"/>
      <c r="K96" s="27" t="n"/>
      <c r="L96" s="28" t="n"/>
      <c r="M96" s="28" t="n"/>
      <c r="N96" s="31" t="str">
        <f>IF(OR(H96="",M96=""),"",H96-M96)</f>
        <v/>
      </c>
      <c r="O96" s="32" t="str">
        <f>IF(OR(F96="",H96=""),"",IF(StatusDate&lt;F96,0,IF(StatusDate&gt;=H96,1,NETWORKDAYS(F96,StatusDate)/MAX(1,G96))))</f>
        <v/>
      </c>
      <c r="P96" s="33" t="str">
        <f>IF(B96="","",IF(AND(K96&lt;&gt;"Complete",H96&lt;&gt;"",H96&lt;StatusDate),"Overdue",IF(K96="Blocked","Blocked",IF(AND(O96&lt;&gt;"",K96&lt;&gt;"Complete",N(J96)&lt;O96-0.2),"Behind",""))))</f>
        <v/>
      </c>
      <c r="Q96" s="32" t="str">
        <f>IF(B96="","",IF(K96="Complete",1,N(J96)))</f>
        <v/>
      </c>
      <c r="R96" s="34" t="str">
        <f>IF(AND(B96&lt;&gt;"",G96=0,H96&lt;&gt;""),IF(K96&lt;&gt;"Complete",1,-1)*(H96+ROW()/100000),"")</f>
        <v/>
      </c>
      <c r="S96" s="33">
        <f>IF(OR(B96="",G96=""),0,IF(COUNTIF($A$5:$A$154,A96&amp;".*")&gt;0,0,G96))</f>
        <v>0</v>
      </c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 t="n"/>
      <c r="AF96" s="35" t="n"/>
      <c r="AG96" s="35" t="n"/>
      <c r="AH96" s="35" t="n"/>
      <c r="AI96" s="35" t="n"/>
      <c r="AJ96" s="35" t="n"/>
      <c r="AK96" s="35" t="n"/>
      <c r="AL96" s="35" t="n"/>
      <c r="AM96" s="35" t="n"/>
      <c r="AN96" s="35" t="n"/>
      <c r="AO96" s="35" t="n"/>
      <c r="AP96" s="35" t="n"/>
      <c r="AQ96" s="35" t="n"/>
      <c r="AR96" s="35" t="n"/>
      <c r="AS96" s="35" t="n"/>
      <c r="AT96" s="35" t="n"/>
      <c r="AU96" s="35" t="n"/>
      <c r="AV96" s="35" t="n"/>
      <c r="AW96" s="35" t="n"/>
      <c r="AX96" s="35" t="n"/>
      <c r="AY96" s="35" t="n"/>
      <c r="AZ96" s="35" t="n"/>
      <c r="BA96" s="35" t="n"/>
      <c r="BB96" s="35" t="n"/>
      <c r="BC96" s="35" t="n"/>
      <c r="BD96" s="35" t="n"/>
      <c r="BE96" s="35" t="n"/>
      <c r="BF96" s="35" t="n"/>
      <c r="BG96" s="35" t="n"/>
      <c r="BH96" s="35" t="n"/>
    </row>
    <row r="97" ht="15" customHeight="1">
      <c r="A97" s="26" t="n"/>
      <c r="B97" s="27" t="n"/>
      <c r="C97" s="27" t="n"/>
      <c r="D97" s="27" t="n"/>
      <c r="E97" s="27" t="n"/>
      <c r="F97" s="28" t="n"/>
      <c r="G97" s="27" t="n"/>
      <c r="H97" s="29" t="str">
        <f>IF(OR(F97="",G97=""),"",IF(G97=0,F97,WORKDAY(F97,G97-1)))</f>
        <v/>
      </c>
      <c r="I97" s="27" t="n"/>
      <c r="J97" s="30" t="n"/>
      <c r="K97" s="27" t="n"/>
      <c r="L97" s="28" t="n"/>
      <c r="M97" s="28" t="n"/>
      <c r="N97" s="31" t="str">
        <f>IF(OR(H97="",M97=""),"",H97-M97)</f>
        <v/>
      </c>
      <c r="O97" s="32" t="str">
        <f>IF(OR(F97="",H97=""),"",IF(StatusDate&lt;F97,0,IF(StatusDate&gt;=H97,1,NETWORKDAYS(F97,StatusDate)/MAX(1,G97))))</f>
        <v/>
      </c>
      <c r="P97" s="33" t="str">
        <f>IF(B97="","",IF(AND(K97&lt;&gt;"Complete",H97&lt;&gt;"",H97&lt;StatusDate),"Overdue",IF(K97="Blocked","Blocked",IF(AND(O97&lt;&gt;"",K97&lt;&gt;"Complete",N(J97)&lt;O97-0.2),"Behind",""))))</f>
        <v/>
      </c>
      <c r="Q97" s="32" t="str">
        <f>IF(B97="","",IF(K97="Complete",1,N(J97)))</f>
        <v/>
      </c>
      <c r="R97" s="34" t="str">
        <f>IF(AND(B97&lt;&gt;"",G97=0,H97&lt;&gt;""),IF(K97&lt;&gt;"Complete",1,-1)*(H97+ROW()/100000),"")</f>
        <v/>
      </c>
      <c r="S97" s="33">
        <f>IF(OR(B97="",G97=""),0,IF(COUNTIF($A$5:$A$154,A97&amp;".*")&gt;0,0,G97))</f>
        <v>0</v>
      </c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 t="n"/>
      <c r="AZ97" s="35" t="n"/>
      <c r="BA97" s="35" t="n"/>
      <c r="BB97" s="35" t="n"/>
      <c r="BC97" s="35" t="n"/>
      <c r="BD97" s="35" t="n"/>
      <c r="BE97" s="35" t="n"/>
      <c r="BF97" s="35" t="n"/>
      <c r="BG97" s="35" t="n"/>
      <c r="BH97" s="35" t="n"/>
    </row>
    <row r="98" ht="15" customHeight="1">
      <c r="A98" s="26" t="n"/>
      <c r="B98" s="27" t="n"/>
      <c r="C98" s="27" t="n"/>
      <c r="D98" s="27" t="n"/>
      <c r="E98" s="27" t="n"/>
      <c r="F98" s="28" t="n"/>
      <c r="G98" s="27" t="n"/>
      <c r="H98" s="29" t="str">
        <f>IF(OR(F98="",G98=""),"",IF(G98=0,F98,WORKDAY(F98,G98-1)))</f>
        <v/>
      </c>
      <c r="I98" s="27" t="n"/>
      <c r="J98" s="30" t="n"/>
      <c r="K98" s="27" t="n"/>
      <c r="L98" s="28" t="n"/>
      <c r="M98" s="28" t="n"/>
      <c r="N98" s="31" t="str">
        <f>IF(OR(H98="",M98=""),"",H98-M98)</f>
        <v/>
      </c>
      <c r="O98" s="32" t="str">
        <f>IF(OR(F98="",H98=""),"",IF(StatusDate&lt;F98,0,IF(StatusDate&gt;=H98,1,NETWORKDAYS(F98,StatusDate)/MAX(1,G98))))</f>
        <v/>
      </c>
      <c r="P98" s="33" t="str">
        <f>IF(B98="","",IF(AND(K98&lt;&gt;"Complete",H98&lt;&gt;"",H98&lt;StatusDate),"Overdue",IF(K98="Blocked","Blocked",IF(AND(O98&lt;&gt;"",K98&lt;&gt;"Complete",N(J98)&lt;O98-0.2),"Behind",""))))</f>
        <v/>
      </c>
      <c r="Q98" s="32" t="str">
        <f>IF(B98="","",IF(K98="Complete",1,N(J98)))</f>
        <v/>
      </c>
      <c r="R98" s="34" t="str">
        <f>IF(AND(B98&lt;&gt;"",G98=0,H98&lt;&gt;""),IF(K98&lt;&gt;"Complete",1,-1)*(H98+ROW()/100000),"")</f>
        <v/>
      </c>
      <c r="S98" s="33">
        <f>IF(OR(B98="",G98=""),0,IF(COUNTIF($A$5:$A$154,A98&amp;".*")&gt;0,0,G98))</f>
        <v>0</v>
      </c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5" t="n"/>
      <c r="AM98" s="35" t="n"/>
      <c r="AN98" s="35" t="n"/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5" t="n"/>
      <c r="BA98" s="35" t="n"/>
      <c r="BB98" s="35" t="n"/>
      <c r="BC98" s="35" t="n"/>
      <c r="BD98" s="35" t="n"/>
      <c r="BE98" s="35" t="n"/>
      <c r="BF98" s="35" t="n"/>
      <c r="BG98" s="35" t="n"/>
      <c r="BH98" s="35" t="n"/>
    </row>
    <row r="99" ht="15" customHeight="1">
      <c r="A99" s="26" t="n"/>
      <c r="B99" s="27" t="n"/>
      <c r="C99" s="27" t="n"/>
      <c r="D99" s="27" t="n"/>
      <c r="E99" s="27" t="n"/>
      <c r="F99" s="28" t="n"/>
      <c r="G99" s="27" t="n"/>
      <c r="H99" s="29" t="str">
        <f>IF(OR(F99="",G99=""),"",IF(G99=0,F99,WORKDAY(F99,G99-1)))</f>
        <v/>
      </c>
      <c r="I99" s="27" t="n"/>
      <c r="J99" s="30" t="n"/>
      <c r="K99" s="27" t="n"/>
      <c r="L99" s="28" t="n"/>
      <c r="M99" s="28" t="n"/>
      <c r="N99" s="31" t="str">
        <f>IF(OR(H99="",M99=""),"",H99-M99)</f>
        <v/>
      </c>
      <c r="O99" s="32" t="str">
        <f>IF(OR(F99="",H99=""),"",IF(StatusDate&lt;F99,0,IF(StatusDate&gt;=H99,1,NETWORKDAYS(F99,StatusDate)/MAX(1,G99))))</f>
        <v/>
      </c>
      <c r="P99" s="33" t="str">
        <f>IF(B99="","",IF(AND(K99&lt;&gt;"Complete",H99&lt;&gt;"",H99&lt;StatusDate),"Overdue",IF(K99="Blocked","Blocked",IF(AND(O99&lt;&gt;"",K99&lt;&gt;"Complete",N(J99)&lt;O99-0.2),"Behind",""))))</f>
        <v/>
      </c>
      <c r="Q99" s="32" t="str">
        <f>IF(B99="","",IF(K99="Complete",1,N(J99)))</f>
        <v/>
      </c>
      <c r="R99" s="34" t="str">
        <f>IF(AND(B99&lt;&gt;"",G99=0,H99&lt;&gt;""),IF(K99&lt;&gt;"Complete",1,-1)*(H99+ROW()/100000),"")</f>
        <v/>
      </c>
      <c r="S99" s="33">
        <f>IF(OR(B99="",G99=""),0,IF(COUNTIF($A$5:$A$154,A99&amp;".*")&gt;0,0,G99))</f>
        <v>0</v>
      </c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 t="n"/>
      <c r="AF99" s="35" t="n"/>
      <c r="AG99" s="35" t="n"/>
      <c r="AH99" s="35" t="n"/>
      <c r="AI99" s="35" t="n"/>
      <c r="AJ99" s="35" t="n"/>
      <c r="AK99" s="35" t="n"/>
      <c r="AL99" s="35" t="n"/>
      <c r="AM99" s="35" t="n"/>
      <c r="AN99" s="35" t="n"/>
      <c r="AO99" s="35" t="n"/>
      <c r="AP99" s="35" t="n"/>
      <c r="AQ99" s="35" t="n"/>
      <c r="AR99" s="35" t="n"/>
      <c r="AS99" s="35" t="n"/>
      <c r="AT99" s="35" t="n"/>
      <c r="AU99" s="35" t="n"/>
      <c r="AV99" s="35" t="n"/>
      <c r="AW99" s="35" t="n"/>
      <c r="AX99" s="35" t="n"/>
      <c r="AY99" s="35" t="n"/>
      <c r="AZ99" s="35" t="n"/>
      <c r="BA99" s="35" t="n"/>
      <c r="BB99" s="35" t="n"/>
      <c r="BC99" s="35" t="n"/>
      <c r="BD99" s="35" t="n"/>
      <c r="BE99" s="35" t="n"/>
      <c r="BF99" s="35" t="n"/>
      <c r="BG99" s="35" t="n"/>
      <c r="BH99" s="35" t="n"/>
    </row>
    <row r="100" ht="15" customHeight="1">
      <c r="A100" s="26" t="n"/>
      <c r="B100" s="27" t="n"/>
      <c r="C100" s="27" t="n"/>
      <c r="D100" s="27" t="n"/>
      <c r="E100" s="27" t="n"/>
      <c r="F100" s="28" t="n"/>
      <c r="G100" s="27" t="n"/>
      <c r="H100" s="29" t="str">
        <f>IF(OR(F100="",G100=""),"",IF(G100=0,F100,WORKDAY(F100,G100-1)))</f>
        <v/>
      </c>
      <c r="I100" s="27" t="n"/>
      <c r="J100" s="30" t="n"/>
      <c r="K100" s="27" t="n"/>
      <c r="L100" s="28" t="n"/>
      <c r="M100" s="28" t="n"/>
      <c r="N100" s="31" t="str">
        <f>IF(OR(H100="",M100=""),"",H100-M100)</f>
        <v/>
      </c>
      <c r="O100" s="32" t="str">
        <f>IF(OR(F100="",H100=""),"",IF(StatusDate&lt;F100,0,IF(StatusDate&gt;=H100,1,NETWORKDAYS(F100,StatusDate)/MAX(1,G100))))</f>
        <v/>
      </c>
      <c r="P100" s="33" t="str">
        <f>IF(B100="","",IF(AND(K100&lt;&gt;"Complete",H100&lt;&gt;"",H100&lt;StatusDate),"Overdue",IF(K100="Blocked","Blocked",IF(AND(O100&lt;&gt;"",K100&lt;&gt;"Complete",N(J100)&lt;O100-0.2),"Behind",""))))</f>
        <v/>
      </c>
      <c r="Q100" s="32" t="str">
        <f>IF(B100="","",IF(K100="Complete",1,N(J100)))</f>
        <v/>
      </c>
      <c r="R100" s="34" t="str">
        <f>IF(AND(B100&lt;&gt;"",G100=0,H100&lt;&gt;""),IF(K100&lt;&gt;"Complete",1,-1)*(H100+ROW()/100000),"")</f>
        <v/>
      </c>
      <c r="S100" s="33">
        <f>IF(OR(B100="",G100=""),0,IF(COUNTIF($A$5:$A$154,A100&amp;".*")&gt;0,0,G100))</f>
        <v>0</v>
      </c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 t="n"/>
      <c r="AF100" s="35" t="n"/>
      <c r="AG100" s="35" t="n"/>
      <c r="AH100" s="35" t="n"/>
      <c r="AI100" s="35" t="n"/>
      <c r="AJ100" s="35" t="n"/>
      <c r="AK100" s="35" t="n"/>
      <c r="AL100" s="35" t="n"/>
      <c r="AM100" s="35" t="n"/>
      <c r="AN100" s="35" t="n"/>
      <c r="AO100" s="35" t="n"/>
      <c r="AP100" s="35" t="n"/>
      <c r="AQ100" s="35" t="n"/>
      <c r="AR100" s="35" t="n"/>
      <c r="AS100" s="35" t="n"/>
      <c r="AT100" s="35" t="n"/>
      <c r="AU100" s="35" t="n"/>
      <c r="AV100" s="35" t="n"/>
      <c r="AW100" s="35" t="n"/>
      <c r="AX100" s="35" t="n"/>
      <c r="AY100" s="35" t="n"/>
      <c r="AZ100" s="35" t="n"/>
      <c r="BA100" s="35" t="n"/>
      <c r="BB100" s="35" t="n"/>
      <c r="BC100" s="35" t="n"/>
      <c r="BD100" s="35" t="n"/>
      <c r="BE100" s="35" t="n"/>
      <c r="BF100" s="35" t="n"/>
      <c r="BG100" s="35" t="n"/>
      <c r="BH100" s="35" t="n"/>
    </row>
    <row r="101" ht="15" customHeight="1">
      <c r="A101" s="26" t="n"/>
      <c r="B101" s="27" t="n"/>
      <c r="C101" s="27" t="n"/>
      <c r="D101" s="27" t="n"/>
      <c r="E101" s="27" t="n"/>
      <c r="F101" s="28" t="n"/>
      <c r="G101" s="27" t="n"/>
      <c r="H101" s="29" t="str">
        <f>IF(OR(F101="",G101=""),"",IF(G101=0,F101,WORKDAY(F101,G101-1)))</f>
        <v/>
      </c>
      <c r="I101" s="27" t="n"/>
      <c r="J101" s="30" t="n"/>
      <c r="K101" s="27" t="n"/>
      <c r="L101" s="28" t="n"/>
      <c r="M101" s="28" t="n"/>
      <c r="N101" s="31" t="str">
        <f>IF(OR(H101="",M101=""),"",H101-M101)</f>
        <v/>
      </c>
      <c r="O101" s="32" t="str">
        <f>IF(OR(F101="",H101=""),"",IF(StatusDate&lt;F101,0,IF(StatusDate&gt;=H101,1,NETWORKDAYS(F101,StatusDate)/MAX(1,G101))))</f>
        <v/>
      </c>
      <c r="P101" s="33" t="str">
        <f>IF(B101="","",IF(AND(K101&lt;&gt;"Complete",H101&lt;&gt;"",H101&lt;StatusDate),"Overdue",IF(K101="Blocked","Blocked",IF(AND(O101&lt;&gt;"",K101&lt;&gt;"Complete",N(J101)&lt;O101-0.2),"Behind",""))))</f>
        <v/>
      </c>
      <c r="Q101" s="32" t="str">
        <f>IF(B101="","",IF(K101="Complete",1,N(J101)))</f>
        <v/>
      </c>
      <c r="R101" s="34" t="str">
        <f>IF(AND(B101&lt;&gt;"",G101=0,H101&lt;&gt;""),IF(K101&lt;&gt;"Complete",1,-1)*(H101+ROW()/100000),"")</f>
        <v/>
      </c>
      <c r="S101" s="33">
        <f>IF(OR(B101="",G101=""),0,IF(COUNTIF($A$5:$A$154,A101&amp;".*")&gt;0,0,G101))</f>
        <v>0</v>
      </c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 t="n"/>
      <c r="AF101" s="35" t="n"/>
      <c r="AG101" s="35" t="n"/>
      <c r="AH101" s="35" t="n"/>
      <c r="AI101" s="35" t="n"/>
      <c r="AJ101" s="35" t="n"/>
      <c r="AK101" s="35" t="n"/>
      <c r="AL101" s="35" t="n"/>
      <c r="AM101" s="35" t="n"/>
      <c r="AN101" s="35" t="n"/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 t="n"/>
      <c r="AZ101" s="35" t="n"/>
      <c r="BA101" s="35" t="n"/>
      <c r="BB101" s="35" t="n"/>
      <c r="BC101" s="35" t="n"/>
      <c r="BD101" s="35" t="n"/>
      <c r="BE101" s="35" t="n"/>
      <c r="BF101" s="35" t="n"/>
      <c r="BG101" s="35" t="n"/>
      <c r="BH101" s="35" t="n"/>
    </row>
    <row r="102" ht="15" customHeight="1">
      <c r="A102" s="26" t="n"/>
      <c r="B102" s="27" t="n"/>
      <c r="C102" s="27" t="n"/>
      <c r="D102" s="27" t="n"/>
      <c r="E102" s="27" t="n"/>
      <c r="F102" s="28" t="n"/>
      <c r="G102" s="27" t="n"/>
      <c r="H102" s="29" t="str">
        <f>IF(OR(F102="",G102=""),"",IF(G102=0,F102,WORKDAY(F102,G102-1)))</f>
        <v/>
      </c>
      <c r="I102" s="27" t="n"/>
      <c r="J102" s="30" t="n"/>
      <c r="K102" s="27" t="n"/>
      <c r="L102" s="28" t="n"/>
      <c r="M102" s="28" t="n"/>
      <c r="N102" s="31" t="str">
        <f>IF(OR(H102="",M102=""),"",H102-M102)</f>
        <v/>
      </c>
      <c r="O102" s="32" t="str">
        <f>IF(OR(F102="",H102=""),"",IF(StatusDate&lt;F102,0,IF(StatusDate&gt;=H102,1,NETWORKDAYS(F102,StatusDate)/MAX(1,G102))))</f>
        <v/>
      </c>
      <c r="P102" s="33" t="str">
        <f>IF(B102="","",IF(AND(K102&lt;&gt;"Complete",H102&lt;&gt;"",H102&lt;StatusDate),"Overdue",IF(K102="Blocked","Blocked",IF(AND(O102&lt;&gt;"",K102&lt;&gt;"Complete",N(J102)&lt;O102-0.2),"Behind",""))))</f>
        <v/>
      </c>
      <c r="Q102" s="32" t="str">
        <f>IF(B102="","",IF(K102="Complete",1,N(J102)))</f>
        <v/>
      </c>
      <c r="R102" s="34" t="str">
        <f>IF(AND(B102&lt;&gt;"",G102=0,H102&lt;&gt;""),IF(K102&lt;&gt;"Complete",1,-1)*(H102+ROW()/100000),"")</f>
        <v/>
      </c>
      <c r="S102" s="33">
        <f>IF(OR(B102="",G102=""),0,IF(COUNTIF($A$5:$A$154,A102&amp;".*")&gt;0,0,G102))</f>
        <v>0</v>
      </c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 t="n"/>
      <c r="AF102" s="35" t="n"/>
      <c r="AG102" s="35" t="n"/>
      <c r="AH102" s="35" t="n"/>
      <c r="AI102" s="35" t="n"/>
      <c r="AJ102" s="35" t="n"/>
      <c r="AK102" s="35" t="n"/>
      <c r="AL102" s="35" t="n"/>
      <c r="AM102" s="35" t="n"/>
      <c r="AN102" s="35" t="n"/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 t="n"/>
      <c r="AZ102" s="35" t="n"/>
      <c r="BA102" s="35" t="n"/>
      <c r="BB102" s="35" t="n"/>
      <c r="BC102" s="35" t="n"/>
      <c r="BD102" s="35" t="n"/>
      <c r="BE102" s="35" t="n"/>
      <c r="BF102" s="35" t="n"/>
      <c r="BG102" s="35" t="n"/>
      <c r="BH102" s="35" t="n"/>
    </row>
    <row r="103" ht="15" customHeight="1">
      <c r="A103" s="26" t="n"/>
      <c r="B103" s="27" t="n"/>
      <c r="C103" s="27" t="n"/>
      <c r="D103" s="27" t="n"/>
      <c r="E103" s="27" t="n"/>
      <c r="F103" s="28" t="n"/>
      <c r="G103" s="27" t="n"/>
      <c r="H103" s="29" t="str">
        <f>IF(OR(F103="",G103=""),"",IF(G103=0,F103,WORKDAY(F103,G103-1)))</f>
        <v/>
      </c>
      <c r="I103" s="27" t="n"/>
      <c r="J103" s="30" t="n"/>
      <c r="K103" s="27" t="n"/>
      <c r="L103" s="28" t="n"/>
      <c r="M103" s="28" t="n"/>
      <c r="N103" s="31" t="str">
        <f>IF(OR(H103="",M103=""),"",H103-M103)</f>
        <v/>
      </c>
      <c r="O103" s="32" t="str">
        <f>IF(OR(F103="",H103=""),"",IF(StatusDate&lt;F103,0,IF(StatusDate&gt;=H103,1,NETWORKDAYS(F103,StatusDate)/MAX(1,G103))))</f>
        <v/>
      </c>
      <c r="P103" s="33" t="str">
        <f>IF(B103="","",IF(AND(K103&lt;&gt;"Complete",H103&lt;&gt;"",H103&lt;StatusDate),"Overdue",IF(K103="Blocked","Blocked",IF(AND(O103&lt;&gt;"",K103&lt;&gt;"Complete",N(J103)&lt;O103-0.2),"Behind",""))))</f>
        <v/>
      </c>
      <c r="Q103" s="32" t="str">
        <f>IF(B103="","",IF(K103="Complete",1,N(J103)))</f>
        <v/>
      </c>
      <c r="R103" s="34" t="str">
        <f>IF(AND(B103&lt;&gt;"",G103=0,H103&lt;&gt;""),IF(K103&lt;&gt;"Complete",1,-1)*(H103+ROW()/100000),"")</f>
        <v/>
      </c>
      <c r="S103" s="33">
        <f>IF(OR(B103="",G103=""),0,IF(COUNTIF($A$5:$A$154,A103&amp;".*")&gt;0,0,G103))</f>
        <v>0</v>
      </c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 t="n"/>
      <c r="AF103" s="35" t="n"/>
      <c r="AG103" s="35" t="n"/>
      <c r="AH103" s="35" t="n"/>
      <c r="AI103" s="35" t="n"/>
      <c r="AJ103" s="35" t="n"/>
      <c r="AK103" s="35" t="n"/>
      <c r="AL103" s="35" t="n"/>
      <c r="AM103" s="35" t="n"/>
      <c r="AN103" s="35" t="n"/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 t="n"/>
      <c r="AZ103" s="35" t="n"/>
      <c r="BA103" s="35" t="n"/>
      <c r="BB103" s="35" t="n"/>
      <c r="BC103" s="35" t="n"/>
      <c r="BD103" s="35" t="n"/>
      <c r="BE103" s="35" t="n"/>
      <c r="BF103" s="35" t="n"/>
      <c r="BG103" s="35" t="n"/>
      <c r="BH103" s="35" t="n"/>
    </row>
    <row r="104" ht="15" customHeight="1">
      <c r="A104" s="26" t="n"/>
      <c r="B104" s="27" t="n"/>
      <c r="C104" s="27" t="n"/>
      <c r="D104" s="27" t="n"/>
      <c r="E104" s="27" t="n"/>
      <c r="F104" s="28" t="n"/>
      <c r="G104" s="27" t="n"/>
      <c r="H104" s="29" t="str">
        <f>IF(OR(F104="",G104=""),"",IF(G104=0,F104,WORKDAY(F104,G104-1)))</f>
        <v/>
      </c>
      <c r="I104" s="27" t="n"/>
      <c r="J104" s="30" t="n"/>
      <c r="K104" s="27" t="n"/>
      <c r="L104" s="28" t="n"/>
      <c r="M104" s="28" t="n"/>
      <c r="N104" s="31" t="str">
        <f>IF(OR(H104="",M104=""),"",H104-M104)</f>
        <v/>
      </c>
      <c r="O104" s="32" t="str">
        <f>IF(OR(F104="",H104=""),"",IF(StatusDate&lt;F104,0,IF(StatusDate&gt;=H104,1,NETWORKDAYS(F104,StatusDate)/MAX(1,G104))))</f>
        <v/>
      </c>
      <c r="P104" s="33" t="str">
        <f>IF(B104="","",IF(AND(K104&lt;&gt;"Complete",H104&lt;&gt;"",H104&lt;StatusDate),"Overdue",IF(K104="Blocked","Blocked",IF(AND(O104&lt;&gt;"",K104&lt;&gt;"Complete",N(J104)&lt;O104-0.2),"Behind",""))))</f>
        <v/>
      </c>
      <c r="Q104" s="32" t="str">
        <f>IF(B104="","",IF(K104="Complete",1,N(J104)))</f>
        <v/>
      </c>
      <c r="R104" s="34" t="str">
        <f>IF(AND(B104&lt;&gt;"",G104=0,H104&lt;&gt;""),IF(K104&lt;&gt;"Complete",1,-1)*(H104+ROW()/100000),"")</f>
        <v/>
      </c>
      <c r="S104" s="33">
        <f>IF(OR(B104="",G104=""),0,IF(COUNTIF($A$5:$A$154,A104&amp;".*")&gt;0,0,G104))</f>
        <v>0</v>
      </c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 t="n"/>
      <c r="AF104" s="35" t="n"/>
      <c r="AG104" s="35" t="n"/>
      <c r="AH104" s="35" t="n"/>
      <c r="AI104" s="35" t="n"/>
      <c r="AJ104" s="35" t="n"/>
      <c r="AK104" s="35" t="n"/>
      <c r="AL104" s="35" t="n"/>
      <c r="AM104" s="35" t="n"/>
      <c r="AN104" s="35" t="n"/>
      <c r="AO104" s="35" t="n"/>
      <c r="AP104" s="35" t="n"/>
      <c r="AQ104" s="35" t="n"/>
      <c r="AR104" s="35" t="n"/>
      <c r="AS104" s="35" t="n"/>
      <c r="AT104" s="35" t="n"/>
      <c r="AU104" s="35" t="n"/>
      <c r="AV104" s="35" t="n"/>
      <c r="AW104" s="35" t="n"/>
      <c r="AX104" s="35" t="n"/>
      <c r="AY104" s="35" t="n"/>
      <c r="AZ104" s="35" t="n"/>
      <c r="BA104" s="35" t="n"/>
      <c r="BB104" s="35" t="n"/>
      <c r="BC104" s="35" t="n"/>
      <c r="BD104" s="35" t="n"/>
      <c r="BE104" s="35" t="n"/>
      <c r="BF104" s="35" t="n"/>
      <c r="BG104" s="35" t="n"/>
      <c r="BH104" s="35" t="n"/>
    </row>
    <row r="105" ht="15" customHeight="1">
      <c r="A105" s="26" t="n"/>
      <c r="B105" s="27" t="n"/>
      <c r="C105" s="27" t="n"/>
      <c r="D105" s="27" t="n"/>
      <c r="E105" s="27" t="n"/>
      <c r="F105" s="28" t="n"/>
      <c r="G105" s="27" t="n"/>
      <c r="H105" s="29" t="str">
        <f>IF(OR(F105="",G105=""),"",IF(G105=0,F105,WORKDAY(F105,G105-1)))</f>
        <v/>
      </c>
      <c r="I105" s="27" t="n"/>
      <c r="J105" s="30" t="n"/>
      <c r="K105" s="27" t="n"/>
      <c r="L105" s="28" t="n"/>
      <c r="M105" s="28" t="n"/>
      <c r="N105" s="31" t="str">
        <f>IF(OR(H105="",M105=""),"",H105-M105)</f>
        <v/>
      </c>
      <c r="O105" s="32" t="str">
        <f>IF(OR(F105="",H105=""),"",IF(StatusDate&lt;F105,0,IF(StatusDate&gt;=H105,1,NETWORKDAYS(F105,StatusDate)/MAX(1,G105))))</f>
        <v/>
      </c>
      <c r="P105" s="33" t="str">
        <f>IF(B105="","",IF(AND(K105&lt;&gt;"Complete",H105&lt;&gt;"",H105&lt;StatusDate),"Overdue",IF(K105="Blocked","Blocked",IF(AND(O105&lt;&gt;"",K105&lt;&gt;"Complete",N(J105)&lt;O105-0.2),"Behind",""))))</f>
        <v/>
      </c>
      <c r="Q105" s="32" t="str">
        <f>IF(B105="","",IF(K105="Complete",1,N(J105)))</f>
        <v/>
      </c>
      <c r="R105" s="34" t="str">
        <f>IF(AND(B105&lt;&gt;"",G105=0,H105&lt;&gt;""),IF(K105&lt;&gt;"Complete",1,-1)*(H105+ROW()/100000),"")</f>
        <v/>
      </c>
      <c r="S105" s="33">
        <f>IF(OR(B105="",G105=""),0,IF(COUNTIF($A$5:$A$154,A105&amp;".*")&gt;0,0,G105))</f>
        <v>0</v>
      </c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 t="n"/>
      <c r="AF105" s="35" t="n"/>
      <c r="AG105" s="35" t="n"/>
      <c r="AH105" s="35" t="n"/>
      <c r="AI105" s="35" t="n"/>
      <c r="AJ105" s="35" t="n"/>
      <c r="AK105" s="35" t="n"/>
      <c r="AL105" s="35" t="n"/>
      <c r="AM105" s="35" t="n"/>
      <c r="AN105" s="35" t="n"/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 t="n"/>
      <c r="AZ105" s="35" t="n"/>
      <c r="BA105" s="35" t="n"/>
      <c r="BB105" s="35" t="n"/>
      <c r="BC105" s="35" t="n"/>
      <c r="BD105" s="35" t="n"/>
      <c r="BE105" s="35" t="n"/>
      <c r="BF105" s="35" t="n"/>
      <c r="BG105" s="35" t="n"/>
      <c r="BH105" s="35" t="n"/>
    </row>
    <row r="106" ht="15" customHeight="1">
      <c r="A106" s="26" t="n"/>
      <c r="B106" s="27" t="n"/>
      <c r="C106" s="27" t="n"/>
      <c r="D106" s="27" t="n"/>
      <c r="E106" s="27" t="n"/>
      <c r="F106" s="28" t="n"/>
      <c r="G106" s="27" t="n"/>
      <c r="H106" s="29" t="str">
        <f>IF(OR(F106="",G106=""),"",IF(G106=0,F106,WORKDAY(F106,G106-1)))</f>
        <v/>
      </c>
      <c r="I106" s="27" t="n"/>
      <c r="J106" s="30" t="n"/>
      <c r="K106" s="27" t="n"/>
      <c r="L106" s="28" t="n"/>
      <c r="M106" s="28" t="n"/>
      <c r="N106" s="31" t="str">
        <f>IF(OR(H106="",M106=""),"",H106-M106)</f>
        <v/>
      </c>
      <c r="O106" s="32" t="str">
        <f>IF(OR(F106="",H106=""),"",IF(StatusDate&lt;F106,0,IF(StatusDate&gt;=H106,1,NETWORKDAYS(F106,StatusDate)/MAX(1,G106))))</f>
        <v/>
      </c>
      <c r="P106" s="33" t="str">
        <f>IF(B106="","",IF(AND(K106&lt;&gt;"Complete",H106&lt;&gt;"",H106&lt;StatusDate),"Overdue",IF(K106="Blocked","Blocked",IF(AND(O106&lt;&gt;"",K106&lt;&gt;"Complete",N(J106)&lt;O106-0.2),"Behind",""))))</f>
        <v/>
      </c>
      <c r="Q106" s="32" t="str">
        <f>IF(B106="","",IF(K106="Complete",1,N(J106)))</f>
        <v/>
      </c>
      <c r="R106" s="34" t="str">
        <f>IF(AND(B106&lt;&gt;"",G106=0,H106&lt;&gt;""),IF(K106&lt;&gt;"Complete",1,-1)*(H106+ROW()/100000),"")</f>
        <v/>
      </c>
      <c r="S106" s="33">
        <f>IF(OR(B106="",G106=""),0,IF(COUNTIF($A$5:$A$154,A106&amp;".*")&gt;0,0,G106))</f>
        <v>0</v>
      </c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 t="n"/>
      <c r="AZ106" s="35" t="n"/>
      <c r="BA106" s="35" t="n"/>
      <c r="BB106" s="35" t="n"/>
      <c r="BC106" s="35" t="n"/>
      <c r="BD106" s="35" t="n"/>
      <c r="BE106" s="35" t="n"/>
      <c r="BF106" s="35" t="n"/>
      <c r="BG106" s="35" t="n"/>
      <c r="BH106" s="35" t="n"/>
    </row>
    <row r="107" ht="15" customHeight="1">
      <c r="A107" s="26" t="n"/>
      <c r="B107" s="27" t="n"/>
      <c r="C107" s="27" t="n"/>
      <c r="D107" s="27" t="n"/>
      <c r="E107" s="27" t="n"/>
      <c r="F107" s="28" t="n"/>
      <c r="G107" s="27" t="n"/>
      <c r="H107" s="29" t="str">
        <f>IF(OR(F107="",G107=""),"",IF(G107=0,F107,WORKDAY(F107,G107-1)))</f>
        <v/>
      </c>
      <c r="I107" s="27" t="n"/>
      <c r="J107" s="30" t="n"/>
      <c r="K107" s="27" t="n"/>
      <c r="L107" s="28" t="n"/>
      <c r="M107" s="28" t="n"/>
      <c r="N107" s="31" t="str">
        <f>IF(OR(H107="",M107=""),"",H107-M107)</f>
        <v/>
      </c>
      <c r="O107" s="32" t="str">
        <f>IF(OR(F107="",H107=""),"",IF(StatusDate&lt;F107,0,IF(StatusDate&gt;=H107,1,NETWORKDAYS(F107,StatusDate)/MAX(1,G107))))</f>
        <v/>
      </c>
      <c r="P107" s="33" t="str">
        <f>IF(B107="","",IF(AND(K107&lt;&gt;"Complete",H107&lt;&gt;"",H107&lt;StatusDate),"Overdue",IF(K107="Blocked","Blocked",IF(AND(O107&lt;&gt;"",K107&lt;&gt;"Complete",N(J107)&lt;O107-0.2),"Behind",""))))</f>
        <v/>
      </c>
      <c r="Q107" s="32" t="str">
        <f>IF(B107="","",IF(K107="Complete",1,N(J107)))</f>
        <v/>
      </c>
      <c r="R107" s="34" t="str">
        <f>IF(AND(B107&lt;&gt;"",G107=0,H107&lt;&gt;""),IF(K107&lt;&gt;"Complete",1,-1)*(H107+ROW()/100000),"")</f>
        <v/>
      </c>
      <c r="S107" s="33">
        <f>IF(OR(B107="",G107=""),0,IF(COUNTIF($A$5:$A$154,A107&amp;".*")&gt;0,0,G107))</f>
        <v>0</v>
      </c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 t="n"/>
      <c r="AF107" s="35" t="n"/>
      <c r="AG107" s="35" t="n"/>
      <c r="AH107" s="35" t="n"/>
      <c r="AI107" s="35" t="n"/>
      <c r="AJ107" s="35" t="n"/>
      <c r="AK107" s="35" t="n"/>
      <c r="AL107" s="35" t="n"/>
      <c r="AM107" s="35" t="n"/>
      <c r="AN107" s="35" t="n"/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 t="n"/>
      <c r="AZ107" s="35" t="n"/>
      <c r="BA107" s="35" t="n"/>
      <c r="BB107" s="35" t="n"/>
      <c r="BC107" s="35" t="n"/>
      <c r="BD107" s="35" t="n"/>
      <c r="BE107" s="35" t="n"/>
      <c r="BF107" s="35" t="n"/>
      <c r="BG107" s="35" t="n"/>
      <c r="BH107" s="35" t="n"/>
    </row>
    <row r="108" ht="15" customHeight="1">
      <c r="A108" s="26" t="n"/>
      <c r="B108" s="27" t="n"/>
      <c r="C108" s="27" t="n"/>
      <c r="D108" s="27" t="n"/>
      <c r="E108" s="27" t="n"/>
      <c r="F108" s="28" t="n"/>
      <c r="G108" s="27" t="n"/>
      <c r="H108" s="29" t="str">
        <f>IF(OR(F108="",G108=""),"",IF(G108=0,F108,WORKDAY(F108,G108-1)))</f>
        <v/>
      </c>
      <c r="I108" s="27" t="n"/>
      <c r="J108" s="30" t="n"/>
      <c r="K108" s="27" t="n"/>
      <c r="L108" s="28" t="n"/>
      <c r="M108" s="28" t="n"/>
      <c r="N108" s="31" t="str">
        <f>IF(OR(H108="",M108=""),"",H108-M108)</f>
        <v/>
      </c>
      <c r="O108" s="32" t="str">
        <f>IF(OR(F108="",H108=""),"",IF(StatusDate&lt;F108,0,IF(StatusDate&gt;=H108,1,NETWORKDAYS(F108,StatusDate)/MAX(1,G108))))</f>
        <v/>
      </c>
      <c r="P108" s="33" t="str">
        <f>IF(B108="","",IF(AND(K108&lt;&gt;"Complete",H108&lt;&gt;"",H108&lt;StatusDate),"Overdue",IF(K108="Blocked","Blocked",IF(AND(O108&lt;&gt;"",K108&lt;&gt;"Complete",N(J108)&lt;O108-0.2),"Behind",""))))</f>
        <v/>
      </c>
      <c r="Q108" s="32" t="str">
        <f>IF(B108="","",IF(K108="Complete",1,N(J108)))</f>
        <v/>
      </c>
      <c r="R108" s="34" t="str">
        <f>IF(AND(B108&lt;&gt;"",G108=0,H108&lt;&gt;""),IF(K108&lt;&gt;"Complete",1,-1)*(H108+ROW()/100000),"")</f>
        <v/>
      </c>
      <c r="S108" s="33">
        <f>IF(OR(B108="",G108=""),0,IF(COUNTIF($A$5:$A$154,A108&amp;".*")&gt;0,0,G108))</f>
        <v>0</v>
      </c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 t="n"/>
      <c r="AF108" s="35" t="n"/>
      <c r="AG108" s="35" t="n"/>
      <c r="AH108" s="35" t="n"/>
      <c r="AI108" s="35" t="n"/>
      <c r="AJ108" s="35" t="n"/>
      <c r="AK108" s="35" t="n"/>
      <c r="AL108" s="35" t="n"/>
      <c r="AM108" s="35" t="n"/>
      <c r="AN108" s="35" t="n"/>
      <c r="AO108" s="35" t="n"/>
      <c r="AP108" s="35" t="n"/>
      <c r="AQ108" s="35" t="n"/>
      <c r="AR108" s="35" t="n"/>
      <c r="AS108" s="35" t="n"/>
      <c r="AT108" s="35" t="n"/>
      <c r="AU108" s="35" t="n"/>
      <c r="AV108" s="35" t="n"/>
      <c r="AW108" s="35" t="n"/>
      <c r="AX108" s="35" t="n"/>
      <c r="AY108" s="35" t="n"/>
      <c r="AZ108" s="35" t="n"/>
      <c r="BA108" s="35" t="n"/>
      <c r="BB108" s="35" t="n"/>
      <c r="BC108" s="35" t="n"/>
      <c r="BD108" s="35" t="n"/>
      <c r="BE108" s="35" t="n"/>
      <c r="BF108" s="35" t="n"/>
      <c r="BG108" s="35" t="n"/>
      <c r="BH108" s="35" t="n"/>
    </row>
    <row r="109" ht="15" customHeight="1">
      <c r="A109" s="26" t="n"/>
      <c r="B109" s="27" t="n"/>
      <c r="C109" s="27" t="n"/>
      <c r="D109" s="27" t="n"/>
      <c r="E109" s="27" t="n"/>
      <c r="F109" s="28" t="n"/>
      <c r="G109" s="27" t="n"/>
      <c r="H109" s="29" t="str">
        <f>IF(OR(F109="",G109=""),"",IF(G109=0,F109,WORKDAY(F109,G109-1)))</f>
        <v/>
      </c>
      <c r="I109" s="27" t="n"/>
      <c r="J109" s="30" t="n"/>
      <c r="K109" s="27" t="n"/>
      <c r="L109" s="28" t="n"/>
      <c r="M109" s="28" t="n"/>
      <c r="N109" s="31" t="str">
        <f>IF(OR(H109="",M109=""),"",H109-M109)</f>
        <v/>
      </c>
      <c r="O109" s="32" t="str">
        <f>IF(OR(F109="",H109=""),"",IF(StatusDate&lt;F109,0,IF(StatusDate&gt;=H109,1,NETWORKDAYS(F109,StatusDate)/MAX(1,G109))))</f>
        <v/>
      </c>
      <c r="P109" s="33" t="str">
        <f>IF(B109="","",IF(AND(K109&lt;&gt;"Complete",H109&lt;&gt;"",H109&lt;StatusDate),"Overdue",IF(K109="Blocked","Blocked",IF(AND(O109&lt;&gt;"",K109&lt;&gt;"Complete",N(J109)&lt;O109-0.2),"Behind",""))))</f>
        <v/>
      </c>
      <c r="Q109" s="32" t="str">
        <f>IF(B109="","",IF(K109="Complete",1,N(J109)))</f>
        <v/>
      </c>
      <c r="R109" s="34" t="str">
        <f>IF(AND(B109&lt;&gt;"",G109=0,H109&lt;&gt;""),IF(K109&lt;&gt;"Complete",1,-1)*(H109+ROW()/100000),"")</f>
        <v/>
      </c>
      <c r="S109" s="33">
        <f>IF(OR(B109="",G109=""),0,IF(COUNTIF($A$5:$A$154,A109&amp;".*")&gt;0,0,G109))</f>
        <v>0</v>
      </c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 t="n"/>
      <c r="AF109" s="35" t="n"/>
      <c r="AG109" s="35" t="n"/>
      <c r="AH109" s="35" t="n"/>
      <c r="AI109" s="35" t="n"/>
      <c r="AJ109" s="35" t="n"/>
      <c r="AK109" s="35" t="n"/>
      <c r="AL109" s="35" t="n"/>
      <c r="AM109" s="35" t="n"/>
      <c r="AN109" s="35" t="n"/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 t="n"/>
      <c r="AZ109" s="35" t="n"/>
      <c r="BA109" s="35" t="n"/>
      <c r="BB109" s="35" t="n"/>
      <c r="BC109" s="35" t="n"/>
      <c r="BD109" s="35" t="n"/>
      <c r="BE109" s="35" t="n"/>
      <c r="BF109" s="35" t="n"/>
      <c r="BG109" s="35" t="n"/>
      <c r="BH109" s="35" t="n"/>
    </row>
    <row r="110" ht="15" customHeight="1">
      <c r="A110" s="26" t="n"/>
      <c r="B110" s="27" t="n"/>
      <c r="C110" s="27" t="n"/>
      <c r="D110" s="27" t="n"/>
      <c r="E110" s="27" t="n"/>
      <c r="F110" s="28" t="n"/>
      <c r="G110" s="27" t="n"/>
      <c r="H110" s="29" t="str">
        <f>IF(OR(F110="",G110=""),"",IF(G110=0,F110,WORKDAY(F110,G110-1)))</f>
        <v/>
      </c>
      <c r="I110" s="27" t="n"/>
      <c r="J110" s="30" t="n"/>
      <c r="K110" s="27" t="n"/>
      <c r="L110" s="28" t="n"/>
      <c r="M110" s="28" t="n"/>
      <c r="N110" s="31" t="str">
        <f>IF(OR(H110="",M110=""),"",H110-M110)</f>
        <v/>
      </c>
      <c r="O110" s="32" t="str">
        <f>IF(OR(F110="",H110=""),"",IF(StatusDate&lt;F110,0,IF(StatusDate&gt;=H110,1,NETWORKDAYS(F110,StatusDate)/MAX(1,G110))))</f>
        <v/>
      </c>
      <c r="P110" s="33" t="str">
        <f>IF(B110="","",IF(AND(K110&lt;&gt;"Complete",H110&lt;&gt;"",H110&lt;StatusDate),"Overdue",IF(K110="Blocked","Blocked",IF(AND(O110&lt;&gt;"",K110&lt;&gt;"Complete",N(J110)&lt;O110-0.2),"Behind",""))))</f>
        <v/>
      </c>
      <c r="Q110" s="32" t="str">
        <f>IF(B110="","",IF(K110="Complete",1,N(J110)))</f>
        <v/>
      </c>
      <c r="R110" s="34" t="str">
        <f>IF(AND(B110&lt;&gt;"",G110=0,H110&lt;&gt;""),IF(K110&lt;&gt;"Complete",1,-1)*(H110+ROW()/100000),"")</f>
        <v/>
      </c>
      <c r="S110" s="33">
        <f>IF(OR(B110="",G110=""),0,IF(COUNTIF($A$5:$A$154,A110&amp;".*")&gt;0,0,G110))</f>
        <v>0</v>
      </c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 t="n"/>
      <c r="AF110" s="35" t="n"/>
      <c r="AG110" s="35" t="n"/>
      <c r="AH110" s="35" t="n"/>
      <c r="AI110" s="35" t="n"/>
      <c r="AJ110" s="35" t="n"/>
      <c r="AK110" s="35" t="n"/>
      <c r="AL110" s="35" t="n"/>
      <c r="AM110" s="35" t="n"/>
      <c r="AN110" s="35" t="n"/>
      <c r="AO110" s="35" t="n"/>
      <c r="AP110" s="35" t="n"/>
      <c r="AQ110" s="35" t="n"/>
      <c r="AR110" s="35" t="n"/>
      <c r="AS110" s="35" t="n"/>
      <c r="AT110" s="35" t="n"/>
      <c r="AU110" s="35" t="n"/>
      <c r="AV110" s="35" t="n"/>
      <c r="AW110" s="35" t="n"/>
      <c r="AX110" s="35" t="n"/>
      <c r="AY110" s="35" t="n"/>
      <c r="AZ110" s="35" t="n"/>
      <c r="BA110" s="35" t="n"/>
      <c r="BB110" s="35" t="n"/>
      <c r="BC110" s="35" t="n"/>
      <c r="BD110" s="35" t="n"/>
      <c r="BE110" s="35" t="n"/>
      <c r="BF110" s="35" t="n"/>
      <c r="BG110" s="35" t="n"/>
      <c r="BH110" s="35" t="n"/>
    </row>
    <row r="111" ht="15" customHeight="1">
      <c r="A111" s="26" t="n"/>
      <c r="B111" s="27" t="n"/>
      <c r="C111" s="27" t="n"/>
      <c r="D111" s="27" t="n"/>
      <c r="E111" s="27" t="n"/>
      <c r="F111" s="28" t="n"/>
      <c r="G111" s="27" t="n"/>
      <c r="H111" s="29" t="str">
        <f>IF(OR(F111="",G111=""),"",IF(G111=0,F111,WORKDAY(F111,G111-1)))</f>
        <v/>
      </c>
      <c r="I111" s="27" t="n"/>
      <c r="J111" s="30" t="n"/>
      <c r="K111" s="27" t="n"/>
      <c r="L111" s="28" t="n"/>
      <c r="M111" s="28" t="n"/>
      <c r="N111" s="31" t="str">
        <f>IF(OR(H111="",M111=""),"",H111-M111)</f>
        <v/>
      </c>
      <c r="O111" s="32" t="str">
        <f>IF(OR(F111="",H111=""),"",IF(StatusDate&lt;F111,0,IF(StatusDate&gt;=H111,1,NETWORKDAYS(F111,StatusDate)/MAX(1,G111))))</f>
        <v/>
      </c>
      <c r="P111" s="33" t="str">
        <f>IF(B111="","",IF(AND(K111&lt;&gt;"Complete",H111&lt;&gt;"",H111&lt;StatusDate),"Overdue",IF(K111="Blocked","Blocked",IF(AND(O111&lt;&gt;"",K111&lt;&gt;"Complete",N(J111)&lt;O111-0.2),"Behind",""))))</f>
        <v/>
      </c>
      <c r="Q111" s="32" t="str">
        <f>IF(B111="","",IF(K111="Complete",1,N(J111)))</f>
        <v/>
      </c>
      <c r="R111" s="34" t="str">
        <f>IF(AND(B111&lt;&gt;"",G111=0,H111&lt;&gt;""),IF(K111&lt;&gt;"Complete",1,-1)*(H111+ROW()/100000),"")</f>
        <v/>
      </c>
      <c r="S111" s="33">
        <f>IF(OR(B111="",G111=""),0,IF(COUNTIF($A$5:$A$154,A111&amp;".*")&gt;0,0,G111))</f>
        <v>0</v>
      </c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 t="n"/>
      <c r="AF111" s="35" t="n"/>
      <c r="AG111" s="35" t="n"/>
      <c r="AH111" s="35" t="n"/>
      <c r="AI111" s="35" t="n"/>
      <c r="AJ111" s="35" t="n"/>
      <c r="AK111" s="35" t="n"/>
      <c r="AL111" s="35" t="n"/>
      <c r="AM111" s="35" t="n"/>
      <c r="AN111" s="35" t="n"/>
      <c r="AO111" s="35" t="n"/>
      <c r="AP111" s="35" t="n"/>
      <c r="AQ111" s="35" t="n"/>
      <c r="AR111" s="35" t="n"/>
      <c r="AS111" s="35" t="n"/>
      <c r="AT111" s="35" t="n"/>
      <c r="AU111" s="35" t="n"/>
      <c r="AV111" s="35" t="n"/>
      <c r="AW111" s="35" t="n"/>
      <c r="AX111" s="35" t="n"/>
      <c r="AY111" s="35" t="n"/>
      <c r="AZ111" s="35" t="n"/>
      <c r="BA111" s="35" t="n"/>
      <c r="BB111" s="35" t="n"/>
      <c r="BC111" s="35" t="n"/>
      <c r="BD111" s="35" t="n"/>
      <c r="BE111" s="35" t="n"/>
      <c r="BF111" s="35" t="n"/>
      <c r="BG111" s="35" t="n"/>
      <c r="BH111" s="35" t="n"/>
    </row>
    <row r="112" ht="15" customHeight="1">
      <c r="A112" s="26" t="n"/>
      <c r="B112" s="27" t="n"/>
      <c r="C112" s="27" t="n"/>
      <c r="D112" s="27" t="n"/>
      <c r="E112" s="27" t="n"/>
      <c r="F112" s="28" t="n"/>
      <c r="G112" s="27" t="n"/>
      <c r="H112" s="29" t="str">
        <f>IF(OR(F112="",G112=""),"",IF(G112=0,F112,WORKDAY(F112,G112-1)))</f>
        <v/>
      </c>
      <c r="I112" s="27" t="n"/>
      <c r="J112" s="30" t="n"/>
      <c r="K112" s="27" t="n"/>
      <c r="L112" s="28" t="n"/>
      <c r="M112" s="28" t="n"/>
      <c r="N112" s="31" t="str">
        <f>IF(OR(H112="",M112=""),"",H112-M112)</f>
        <v/>
      </c>
      <c r="O112" s="32" t="str">
        <f>IF(OR(F112="",H112=""),"",IF(StatusDate&lt;F112,0,IF(StatusDate&gt;=H112,1,NETWORKDAYS(F112,StatusDate)/MAX(1,G112))))</f>
        <v/>
      </c>
      <c r="P112" s="33" t="str">
        <f>IF(B112="","",IF(AND(K112&lt;&gt;"Complete",H112&lt;&gt;"",H112&lt;StatusDate),"Overdue",IF(K112="Blocked","Blocked",IF(AND(O112&lt;&gt;"",K112&lt;&gt;"Complete",N(J112)&lt;O112-0.2),"Behind",""))))</f>
        <v/>
      </c>
      <c r="Q112" s="32" t="str">
        <f>IF(B112="","",IF(K112="Complete",1,N(J112)))</f>
        <v/>
      </c>
      <c r="R112" s="34" t="str">
        <f>IF(AND(B112&lt;&gt;"",G112=0,H112&lt;&gt;""),IF(K112&lt;&gt;"Complete",1,-1)*(H112+ROW()/100000),"")</f>
        <v/>
      </c>
      <c r="S112" s="33">
        <f>IF(OR(B112="",G112=""),0,IF(COUNTIF($A$5:$A$154,A112&amp;".*")&gt;0,0,G112))</f>
        <v>0</v>
      </c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 t="n"/>
      <c r="AF112" s="35" t="n"/>
      <c r="AG112" s="35" t="n"/>
      <c r="AH112" s="35" t="n"/>
      <c r="AI112" s="35" t="n"/>
      <c r="AJ112" s="35" t="n"/>
      <c r="AK112" s="35" t="n"/>
      <c r="AL112" s="35" t="n"/>
      <c r="AM112" s="35" t="n"/>
      <c r="AN112" s="35" t="n"/>
      <c r="AO112" s="35" t="n"/>
      <c r="AP112" s="35" t="n"/>
      <c r="AQ112" s="35" t="n"/>
      <c r="AR112" s="35" t="n"/>
      <c r="AS112" s="35" t="n"/>
      <c r="AT112" s="35" t="n"/>
      <c r="AU112" s="35" t="n"/>
      <c r="AV112" s="35" t="n"/>
      <c r="AW112" s="35" t="n"/>
      <c r="AX112" s="35" t="n"/>
      <c r="AY112" s="35" t="n"/>
      <c r="AZ112" s="35" t="n"/>
      <c r="BA112" s="35" t="n"/>
      <c r="BB112" s="35" t="n"/>
      <c r="BC112" s="35" t="n"/>
      <c r="BD112" s="35" t="n"/>
      <c r="BE112" s="35" t="n"/>
      <c r="BF112" s="35" t="n"/>
      <c r="BG112" s="35" t="n"/>
      <c r="BH112" s="35" t="n"/>
    </row>
    <row r="113" ht="15" customHeight="1">
      <c r="A113" s="26" t="n"/>
      <c r="B113" s="27" t="n"/>
      <c r="C113" s="27" t="n"/>
      <c r="D113" s="27" t="n"/>
      <c r="E113" s="27" t="n"/>
      <c r="F113" s="28" t="n"/>
      <c r="G113" s="27" t="n"/>
      <c r="H113" s="29" t="str">
        <f>IF(OR(F113="",G113=""),"",IF(G113=0,F113,WORKDAY(F113,G113-1)))</f>
        <v/>
      </c>
      <c r="I113" s="27" t="n"/>
      <c r="J113" s="30" t="n"/>
      <c r="K113" s="27" t="n"/>
      <c r="L113" s="28" t="n"/>
      <c r="M113" s="28" t="n"/>
      <c r="N113" s="31" t="str">
        <f>IF(OR(H113="",M113=""),"",H113-M113)</f>
        <v/>
      </c>
      <c r="O113" s="32" t="str">
        <f>IF(OR(F113="",H113=""),"",IF(StatusDate&lt;F113,0,IF(StatusDate&gt;=H113,1,NETWORKDAYS(F113,StatusDate)/MAX(1,G113))))</f>
        <v/>
      </c>
      <c r="P113" s="33" t="str">
        <f>IF(B113="","",IF(AND(K113&lt;&gt;"Complete",H113&lt;&gt;"",H113&lt;StatusDate),"Overdue",IF(K113="Blocked","Blocked",IF(AND(O113&lt;&gt;"",K113&lt;&gt;"Complete",N(J113)&lt;O113-0.2),"Behind",""))))</f>
        <v/>
      </c>
      <c r="Q113" s="32" t="str">
        <f>IF(B113="","",IF(K113="Complete",1,N(J113)))</f>
        <v/>
      </c>
      <c r="R113" s="34" t="str">
        <f>IF(AND(B113&lt;&gt;"",G113=0,H113&lt;&gt;""),IF(K113&lt;&gt;"Complete",1,-1)*(H113+ROW()/100000),"")</f>
        <v/>
      </c>
      <c r="S113" s="33">
        <f>IF(OR(B113="",G113=""),0,IF(COUNTIF($A$5:$A$154,A113&amp;".*")&gt;0,0,G113))</f>
        <v>0</v>
      </c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 t="n"/>
      <c r="AF113" s="35" t="n"/>
      <c r="AG113" s="35" t="n"/>
      <c r="AH113" s="35" t="n"/>
      <c r="AI113" s="35" t="n"/>
      <c r="AJ113" s="35" t="n"/>
      <c r="AK113" s="35" t="n"/>
      <c r="AL113" s="35" t="n"/>
      <c r="AM113" s="35" t="n"/>
      <c r="AN113" s="35" t="n"/>
      <c r="AO113" s="35" t="n"/>
      <c r="AP113" s="35" t="n"/>
      <c r="AQ113" s="35" t="n"/>
      <c r="AR113" s="35" t="n"/>
      <c r="AS113" s="35" t="n"/>
      <c r="AT113" s="35" t="n"/>
      <c r="AU113" s="35" t="n"/>
      <c r="AV113" s="35" t="n"/>
      <c r="AW113" s="35" t="n"/>
      <c r="AX113" s="35" t="n"/>
      <c r="AY113" s="35" t="n"/>
      <c r="AZ113" s="35" t="n"/>
      <c r="BA113" s="35" t="n"/>
      <c r="BB113" s="35" t="n"/>
      <c r="BC113" s="35" t="n"/>
      <c r="BD113" s="35" t="n"/>
      <c r="BE113" s="35" t="n"/>
      <c r="BF113" s="35" t="n"/>
      <c r="BG113" s="35" t="n"/>
      <c r="BH113" s="35" t="n"/>
    </row>
    <row r="114" ht="15" customHeight="1">
      <c r="A114" s="26" t="n"/>
      <c r="B114" s="27" t="n"/>
      <c r="C114" s="27" t="n"/>
      <c r="D114" s="27" t="n"/>
      <c r="E114" s="27" t="n"/>
      <c r="F114" s="28" t="n"/>
      <c r="G114" s="27" t="n"/>
      <c r="H114" s="29" t="str">
        <f>IF(OR(F114="",G114=""),"",IF(G114=0,F114,WORKDAY(F114,G114-1)))</f>
        <v/>
      </c>
      <c r="I114" s="27" t="n"/>
      <c r="J114" s="30" t="n"/>
      <c r="K114" s="27" t="n"/>
      <c r="L114" s="28" t="n"/>
      <c r="M114" s="28" t="n"/>
      <c r="N114" s="31" t="str">
        <f>IF(OR(H114="",M114=""),"",H114-M114)</f>
        <v/>
      </c>
      <c r="O114" s="32" t="str">
        <f>IF(OR(F114="",H114=""),"",IF(StatusDate&lt;F114,0,IF(StatusDate&gt;=H114,1,NETWORKDAYS(F114,StatusDate)/MAX(1,G114))))</f>
        <v/>
      </c>
      <c r="P114" s="33" t="str">
        <f>IF(B114="","",IF(AND(K114&lt;&gt;"Complete",H114&lt;&gt;"",H114&lt;StatusDate),"Overdue",IF(K114="Blocked","Blocked",IF(AND(O114&lt;&gt;"",K114&lt;&gt;"Complete",N(J114)&lt;O114-0.2),"Behind",""))))</f>
        <v/>
      </c>
      <c r="Q114" s="32" t="str">
        <f>IF(B114="","",IF(K114="Complete",1,N(J114)))</f>
        <v/>
      </c>
      <c r="R114" s="34" t="str">
        <f>IF(AND(B114&lt;&gt;"",G114=0,H114&lt;&gt;""),IF(K114&lt;&gt;"Complete",1,-1)*(H114+ROW()/100000),"")</f>
        <v/>
      </c>
      <c r="S114" s="33">
        <f>IF(OR(B114="",G114=""),0,IF(COUNTIF($A$5:$A$154,A114&amp;".*")&gt;0,0,G114))</f>
        <v>0</v>
      </c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 t="n"/>
      <c r="AF114" s="35" t="n"/>
      <c r="AG114" s="35" t="n"/>
      <c r="AH114" s="35" t="n"/>
      <c r="AI114" s="35" t="n"/>
      <c r="AJ114" s="35" t="n"/>
      <c r="AK114" s="35" t="n"/>
      <c r="AL114" s="35" t="n"/>
      <c r="AM114" s="35" t="n"/>
      <c r="AN114" s="35" t="n"/>
      <c r="AO114" s="35" t="n"/>
      <c r="AP114" s="35" t="n"/>
      <c r="AQ114" s="35" t="n"/>
      <c r="AR114" s="35" t="n"/>
      <c r="AS114" s="35" t="n"/>
      <c r="AT114" s="35" t="n"/>
      <c r="AU114" s="35" t="n"/>
      <c r="AV114" s="35" t="n"/>
      <c r="AW114" s="35" t="n"/>
      <c r="AX114" s="35" t="n"/>
      <c r="AY114" s="35" t="n"/>
      <c r="AZ114" s="35" t="n"/>
      <c r="BA114" s="35" t="n"/>
      <c r="BB114" s="35" t="n"/>
      <c r="BC114" s="35" t="n"/>
      <c r="BD114" s="35" t="n"/>
      <c r="BE114" s="35" t="n"/>
      <c r="BF114" s="35" t="n"/>
      <c r="BG114" s="35" t="n"/>
      <c r="BH114" s="35" t="n"/>
    </row>
    <row r="115" ht="15" customHeight="1">
      <c r="A115" s="26" t="n"/>
      <c r="B115" s="27" t="n"/>
      <c r="C115" s="27" t="n"/>
      <c r="D115" s="27" t="n"/>
      <c r="E115" s="27" t="n"/>
      <c r="F115" s="28" t="n"/>
      <c r="G115" s="27" t="n"/>
      <c r="H115" s="29" t="str">
        <f>IF(OR(F115="",G115=""),"",IF(G115=0,F115,WORKDAY(F115,G115-1)))</f>
        <v/>
      </c>
      <c r="I115" s="27" t="n"/>
      <c r="J115" s="30" t="n"/>
      <c r="K115" s="27" t="n"/>
      <c r="L115" s="28" t="n"/>
      <c r="M115" s="28" t="n"/>
      <c r="N115" s="31" t="str">
        <f>IF(OR(H115="",M115=""),"",H115-M115)</f>
        <v/>
      </c>
      <c r="O115" s="32" t="str">
        <f>IF(OR(F115="",H115=""),"",IF(StatusDate&lt;F115,0,IF(StatusDate&gt;=H115,1,NETWORKDAYS(F115,StatusDate)/MAX(1,G115))))</f>
        <v/>
      </c>
      <c r="P115" s="33" t="str">
        <f>IF(B115="","",IF(AND(K115&lt;&gt;"Complete",H115&lt;&gt;"",H115&lt;StatusDate),"Overdue",IF(K115="Blocked","Blocked",IF(AND(O115&lt;&gt;"",K115&lt;&gt;"Complete",N(J115)&lt;O115-0.2),"Behind",""))))</f>
        <v/>
      </c>
      <c r="Q115" s="32" t="str">
        <f>IF(B115="","",IF(K115="Complete",1,N(J115)))</f>
        <v/>
      </c>
      <c r="R115" s="34" t="str">
        <f>IF(AND(B115&lt;&gt;"",G115=0,H115&lt;&gt;""),IF(K115&lt;&gt;"Complete",1,-1)*(H115+ROW()/100000),"")</f>
        <v/>
      </c>
      <c r="S115" s="33">
        <f>IF(OR(B115="",G115=""),0,IF(COUNTIF($A$5:$A$154,A115&amp;".*")&gt;0,0,G115))</f>
        <v>0</v>
      </c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 t="n"/>
      <c r="AF115" s="35" t="n"/>
      <c r="AG115" s="35" t="n"/>
      <c r="AH115" s="35" t="n"/>
      <c r="AI115" s="35" t="n"/>
      <c r="AJ115" s="35" t="n"/>
      <c r="AK115" s="35" t="n"/>
      <c r="AL115" s="35" t="n"/>
      <c r="AM115" s="35" t="n"/>
      <c r="AN115" s="35" t="n"/>
      <c r="AO115" s="35" t="n"/>
      <c r="AP115" s="35" t="n"/>
      <c r="AQ115" s="35" t="n"/>
      <c r="AR115" s="35" t="n"/>
      <c r="AS115" s="35" t="n"/>
      <c r="AT115" s="35" t="n"/>
      <c r="AU115" s="35" t="n"/>
      <c r="AV115" s="35" t="n"/>
      <c r="AW115" s="35" t="n"/>
      <c r="AX115" s="35" t="n"/>
      <c r="AY115" s="35" t="n"/>
      <c r="AZ115" s="35" t="n"/>
      <c r="BA115" s="35" t="n"/>
      <c r="BB115" s="35" t="n"/>
      <c r="BC115" s="35" t="n"/>
      <c r="BD115" s="35" t="n"/>
      <c r="BE115" s="35" t="n"/>
      <c r="BF115" s="35" t="n"/>
      <c r="BG115" s="35" t="n"/>
      <c r="BH115" s="35" t="n"/>
    </row>
    <row r="116" ht="15" customHeight="1">
      <c r="A116" s="26" t="n"/>
      <c r="B116" s="27" t="n"/>
      <c r="C116" s="27" t="n"/>
      <c r="D116" s="27" t="n"/>
      <c r="E116" s="27" t="n"/>
      <c r="F116" s="28" t="n"/>
      <c r="G116" s="27" t="n"/>
      <c r="H116" s="29" t="str">
        <f>IF(OR(F116="",G116=""),"",IF(G116=0,F116,WORKDAY(F116,G116-1)))</f>
        <v/>
      </c>
      <c r="I116" s="27" t="n"/>
      <c r="J116" s="30" t="n"/>
      <c r="K116" s="27" t="n"/>
      <c r="L116" s="28" t="n"/>
      <c r="M116" s="28" t="n"/>
      <c r="N116" s="31" t="str">
        <f>IF(OR(H116="",M116=""),"",H116-M116)</f>
        <v/>
      </c>
      <c r="O116" s="32" t="str">
        <f>IF(OR(F116="",H116=""),"",IF(StatusDate&lt;F116,0,IF(StatusDate&gt;=H116,1,NETWORKDAYS(F116,StatusDate)/MAX(1,G116))))</f>
        <v/>
      </c>
      <c r="P116" s="33" t="str">
        <f>IF(B116="","",IF(AND(K116&lt;&gt;"Complete",H116&lt;&gt;"",H116&lt;StatusDate),"Overdue",IF(K116="Blocked","Blocked",IF(AND(O116&lt;&gt;"",K116&lt;&gt;"Complete",N(J116)&lt;O116-0.2),"Behind",""))))</f>
        <v/>
      </c>
      <c r="Q116" s="32" t="str">
        <f>IF(B116="","",IF(K116="Complete",1,N(J116)))</f>
        <v/>
      </c>
      <c r="R116" s="34" t="str">
        <f>IF(AND(B116&lt;&gt;"",G116=0,H116&lt;&gt;""),IF(K116&lt;&gt;"Complete",1,-1)*(H116+ROW()/100000),"")</f>
        <v/>
      </c>
      <c r="S116" s="33">
        <f>IF(OR(B116="",G116=""),0,IF(COUNTIF($A$5:$A$154,A116&amp;".*")&gt;0,0,G116))</f>
        <v>0</v>
      </c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 t="n"/>
      <c r="AF116" s="35" t="n"/>
      <c r="AG116" s="35" t="n"/>
      <c r="AH116" s="35" t="n"/>
      <c r="AI116" s="35" t="n"/>
      <c r="AJ116" s="35" t="n"/>
      <c r="AK116" s="35" t="n"/>
      <c r="AL116" s="35" t="n"/>
      <c r="AM116" s="35" t="n"/>
      <c r="AN116" s="35" t="n"/>
      <c r="AO116" s="35" t="n"/>
      <c r="AP116" s="35" t="n"/>
      <c r="AQ116" s="35" t="n"/>
      <c r="AR116" s="35" t="n"/>
      <c r="AS116" s="35" t="n"/>
      <c r="AT116" s="35" t="n"/>
      <c r="AU116" s="35" t="n"/>
      <c r="AV116" s="35" t="n"/>
      <c r="AW116" s="35" t="n"/>
      <c r="AX116" s="35" t="n"/>
      <c r="AY116" s="35" t="n"/>
      <c r="AZ116" s="35" t="n"/>
      <c r="BA116" s="35" t="n"/>
      <c r="BB116" s="35" t="n"/>
      <c r="BC116" s="35" t="n"/>
      <c r="BD116" s="35" t="n"/>
      <c r="BE116" s="35" t="n"/>
      <c r="BF116" s="35" t="n"/>
      <c r="BG116" s="35" t="n"/>
      <c r="BH116" s="35" t="n"/>
    </row>
    <row r="117" ht="15" customHeight="1">
      <c r="A117" s="26" t="n"/>
      <c r="B117" s="27" t="n"/>
      <c r="C117" s="27" t="n"/>
      <c r="D117" s="27" t="n"/>
      <c r="E117" s="27" t="n"/>
      <c r="F117" s="28" t="n"/>
      <c r="G117" s="27" t="n"/>
      <c r="H117" s="29" t="str">
        <f>IF(OR(F117="",G117=""),"",IF(G117=0,F117,WORKDAY(F117,G117-1)))</f>
        <v/>
      </c>
      <c r="I117" s="27" t="n"/>
      <c r="J117" s="30" t="n"/>
      <c r="K117" s="27" t="n"/>
      <c r="L117" s="28" t="n"/>
      <c r="M117" s="28" t="n"/>
      <c r="N117" s="31" t="str">
        <f>IF(OR(H117="",M117=""),"",H117-M117)</f>
        <v/>
      </c>
      <c r="O117" s="32" t="str">
        <f>IF(OR(F117="",H117=""),"",IF(StatusDate&lt;F117,0,IF(StatusDate&gt;=H117,1,NETWORKDAYS(F117,StatusDate)/MAX(1,G117))))</f>
        <v/>
      </c>
      <c r="P117" s="33" t="str">
        <f>IF(B117="","",IF(AND(K117&lt;&gt;"Complete",H117&lt;&gt;"",H117&lt;StatusDate),"Overdue",IF(K117="Blocked","Blocked",IF(AND(O117&lt;&gt;"",K117&lt;&gt;"Complete",N(J117)&lt;O117-0.2),"Behind",""))))</f>
        <v/>
      </c>
      <c r="Q117" s="32" t="str">
        <f>IF(B117="","",IF(K117="Complete",1,N(J117)))</f>
        <v/>
      </c>
      <c r="R117" s="34" t="str">
        <f>IF(AND(B117&lt;&gt;"",G117=0,H117&lt;&gt;""),IF(K117&lt;&gt;"Complete",1,-1)*(H117+ROW()/100000),"")</f>
        <v/>
      </c>
      <c r="S117" s="33">
        <f>IF(OR(B117="",G117=""),0,IF(COUNTIF($A$5:$A$154,A117&amp;".*")&gt;0,0,G117))</f>
        <v>0</v>
      </c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 t="n"/>
      <c r="AF117" s="35" t="n"/>
      <c r="AG117" s="35" t="n"/>
      <c r="AH117" s="35" t="n"/>
      <c r="AI117" s="35" t="n"/>
      <c r="AJ117" s="35" t="n"/>
      <c r="AK117" s="35" t="n"/>
      <c r="AL117" s="35" t="n"/>
      <c r="AM117" s="35" t="n"/>
      <c r="AN117" s="35" t="n"/>
      <c r="AO117" s="35" t="n"/>
      <c r="AP117" s="35" t="n"/>
      <c r="AQ117" s="35" t="n"/>
      <c r="AR117" s="35" t="n"/>
      <c r="AS117" s="35" t="n"/>
      <c r="AT117" s="35" t="n"/>
      <c r="AU117" s="35" t="n"/>
      <c r="AV117" s="35" t="n"/>
      <c r="AW117" s="35" t="n"/>
      <c r="AX117" s="35" t="n"/>
      <c r="AY117" s="35" t="n"/>
      <c r="AZ117" s="35" t="n"/>
      <c r="BA117" s="35" t="n"/>
      <c r="BB117" s="35" t="n"/>
      <c r="BC117" s="35" t="n"/>
      <c r="BD117" s="35" t="n"/>
      <c r="BE117" s="35" t="n"/>
      <c r="BF117" s="35" t="n"/>
      <c r="BG117" s="35" t="n"/>
      <c r="BH117" s="35" t="n"/>
    </row>
    <row r="118" ht="15" customHeight="1">
      <c r="A118" s="26" t="n"/>
      <c r="B118" s="27" t="n"/>
      <c r="C118" s="27" t="n"/>
      <c r="D118" s="27" t="n"/>
      <c r="E118" s="27" t="n"/>
      <c r="F118" s="28" t="n"/>
      <c r="G118" s="27" t="n"/>
      <c r="H118" s="29" t="str">
        <f>IF(OR(F118="",G118=""),"",IF(G118=0,F118,WORKDAY(F118,G118-1)))</f>
        <v/>
      </c>
      <c r="I118" s="27" t="n"/>
      <c r="J118" s="30" t="n"/>
      <c r="K118" s="27" t="n"/>
      <c r="L118" s="28" t="n"/>
      <c r="M118" s="28" t="n"/>
      <c r="N118" s="31" t="str">
        <f>IF(OR(H118="",M118=""),"",H118-M118)</f>
        <v/>
      </c>
      <c r="O118" s="32" t="str">
        <f>IF(OR(F118="",H118=""),"",IF(StatusDate&lt;F118,0,IF(StatusDate&gt;=H118,1,NETWORKDAYS(F118,StatusDate)/MAX(1,G118))))</f>
        <v/>
      </c>
      <c r="P118" s="33" t="str">
        <f>IF(B118="","",IF(AND(K118&lt;&gt;"Complete",H118&lt;&gt;"",H118&lt;StatusDate),"Overdue",IF(K118="Blocked","Blocked",IF(AND(O118&lt;&gt;"",K118&lt;&gt;"Complete",N(J118)&lt;O118-0.2),"Behind",""))))</f>
        <v/>
      </c>
      <c r="Q118" s="32" t="str">
        <f>IF(B118="","",IF(K118="Complete",1,N(J118)))</f>
        <v/>
      </c>
      <c r="R118" s="34" t="str">
        <f>IF(AND(B118&lt;&gt;"",G118=0,H118&lt;&gt;""),IF(K118&lt;&gt;"Complete",1,-1)*(H118+ROW()/100000),"")</f>
        <v/>
      </c>
      <c r="S118" s="33">
        <f>IF(OR(B118="",G118=""),0,IF(COUNTIF($A$5:$A$154,A118&amp;".*")&gt;0,0,G118))</f>
        <v>0</v>
      </c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 t="n"/>
      <c r="AF118" s="35" t="n"/>
      <c r="AG118" s="35" t="n"/>
      <c r="AH118" s="35" t="n"/>
      <c r="AI118" s="35" t="n"/>
      <c r="AJ118" s="35" t="n"/>
      <c r="AK118" s="35" t="n"/>
      <c r="AL118" s="35" t="n"/>
      <c r="AM118" s="35" t="n"/>
      <c r="AN118" s="35" t="n"/>
      <c r="AO118" s="35" t="n"/>
      <c r="AP118" s="35" t="n"/>
      <c r="AQ118" s="35" t="n"/>
      <c r="AR118" s="35" t="n"/>
      <c r="AS118" s="35" t="n"/>
      <c r="AT118" s="35" t="n"/>
      <c r="AU118" s="35" t="n"/>
      <c r="AV118" s="35" t="n"/>
      <c r="AW118" s="35" t="n"/>
      <c r="AX118" s="35" t="n"/>
      <c r="AY118" s="35" t="n"/>
      <c r="AZ118" s="35" t="n"/>
      <c r="BA118" s="35" t="n"/>
      <c r="BB118" s="35" t="n"/>
      <c r="BC118" s="35" t="n"/>
      <c r="BD118" s="35" t="n"/>
      <c r="BE118" s="35" t="n"/>
      <c r="BF118" s="35" t="n"/>
      <c r="BG118" s="35" t="n"/>
      <c r="BH118" s="35" t="n"/>
    </row>
    <row r="119" ht="15" customHeight="1">
      <c r="A119" s="26" t="n"/>
      <c r="B119" s="27" t="n"/>
      <c r="C119" s="27" t="n"/>
      <c r="D119" s="27" t="n"/>
      <c r="E119" s="27" t="n"/>
      <c r="F119" s="28" t="n"/>
      <c r="G119" s="27" t="n"/>
      <c r="H119" s="29" t="str">
        <f>IF(OR(F119="",G119=""),"",IF(G119=0,F119,WORKDAY(F119,G119-1)))</f>
        <v/>
      </c>
      <c r="I119" s="27" t="n"/>
      <c r="J119" s="30" t="n"/>
      <c r="K119" s="27" t="n"/>
      <c r="L119" s="28" t="n"/>
      <c r="M119" s="28" t="n"/>
      <c r="N119" s="31" t="str">
        <f>IF(OR(H119="",M119=""),"",H119-M119)</f>
        <v/>
      </c>
      <c r="O119" s="32" t="str">
        <f>IF(OR(F119="",H119=""),"",IF(StatusDate&lt;F119,0,IF(StatusDate&gt;=H119,1,NETWORKDAYS(F119,StatusDate)/MAX(1,G119))))</f>
        <v/>
      </c>
      <c r="P119" s="33" t="str">
        <f>IF(B119="","",IF(AND(K119&lt;&gt;"Complete",H119&lt;&gt;"",H119&lt;StatusDate),"Overdue",IF(K119="Blocked","Blocked",IF(AND(O119&lt;&gt;"",K119&lt;&gt;"Complete",N(J119)&lt;O119-0.2),"Behind",""))))</f>
        <v/>
      </c>
      <c r="Q119" s="32" t="str">
        <f>IF(B119="","",IF(K119="Complete",1,N(J119)))</f>
        <v/>
      </c>
      <c r="R119" s="34" t="str">
        <f>IF(AND(B119&lt;&gt;"",G119=0,H119&lt;&gt;""),IF(K119&lt;&gt;"Complete",1,-1)*(H119+ROW()/100000),"")</f>
        <v/>
      </c>
      <c r="S119" s="33">
        <f>IF(OR(B119="",G119=""),0,IF(COUNTIF($A$5:$A$154,A119&amp;".*")&gt;0,0,G119))</f>
        <v>0</v>
      </c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 t="n"/>
      <c r="AF119" s="35" t="n"/>
      <c r="AG119" s="35" t="n"/>
      <c r="AH119" s="35" t="n"/>
      <c r="AI119" s="35" t="n"/>
      <c r="AJ119" s="35" t="n"/>
      <c r="AK119" s="35" t="n"/>
      <c r="AL119" s="35" t="n"/>
      <c r="AM119" s="35" t="n"/>
      <c r="AN119" s="35" t="n"/>
      <c r="AO119" s="35" t="n"/>
      <c r="AP119" s="35" t="n"/>
      <c r="AQ119" s="35" t="n"/>
      <c r="AR119" s="35" t="n"/>
      <c r="AS119" s="35" t="n"/>
      <c r="AT119" s="35" t="n"/>
      <c r="AU119" s="35" t="n"/>
      <c r="AV119" s="35" t="n"/>
      <c r="AW119" s="35" t="n"/>
      <c r="AX119" s="35" t="n"/>
      <c r="AY119" s="35" t="n"/>
      <c r="AZ119" s="35" t="n"/>
      <c r="BA119" s="35" t="n"/>
      <c r="BB119" s="35" t="n"/>
      <c r="BC119" s="35" t="n"/>
      <c r="BD119" s="35" t="n"/>
      <c r="BE119" s="35" t="n"/>
      <c r="BF119" s="35" t="n"/>
      <c r="BG119" s="35" t="n"/>
      <c r="BH119" s="35" t="n"/>
    </row>
    <row r="120" ht="15" customHeight="1">
      <c r="A120" s="26" t="n"/>
      <c r="B120" s="27" t="n"/>
      <c r="C120" s="27" t="n"/>
      <c r="D120" s="27" t="n"/>
      <c r="E120" s="27" t="n"/>
      <c r="F120" s="28" t="n"/>
      <c r="G120" s="27" t="n"/>
      <c r="H120" s="29" t="str">
        <f>IF(OR(F120="",G120=""),"",IF(G120=0,F120,WORKDAY(F120,G120-1)))</f>
        <v/>
      </c>
      <c r="I120" s="27" t="n"/>
      <c r="J120" s="30" t="n"/>
      <c r="K120" s="27" t="n"/>
      <c r="L120" s="28" t="n"/>
      <c r="M120" s="28" t="n"/>
      <c r="N120" s="31" t="str">
        <f>IF(OR(H120="",M120=""),"",H120-M120)</f>
        <v/>
      </c>
      <c r="O120" s="32" t="str">
        <f>IF(OR(F120="",H120=""),"",IF(StatusDate&lt;F120,0,IF(StatusDate&gt;=H120,1,NETWORKDAYS(F120,StatusDate)/MAX(1,G120))))</f>
        <v/>
      </c>
      <c r="P120" s="33" t="str">
        <f>IF(B120="","",IF(AND(K120&lt;&gt;"Complete",H120&lt;&gt;"",H120&lt;StatusDate),"Overdue",IF(K120="Blocked","Blocked",IF(AND(O120&lt;&gt;"",K120&lt;&gt;"Complete",N(J120)&lt;O120-0.2),"Behind",""))))</f>
        <v/>
      </c>
      <c r="Q120" s="32" t="str">
        <f>IF(B120="","",IF(K120="Complete",1,N(J120)))</f>
        <v/>
      </c>
      <c r="R120" s="34" t="str">
        <f>IF(AND(B120&lt;&gt;"",G120=0,H120&lt;&gt;""),IF(K120&lt;&gt;"Complete",1,-1)*(H120+ROW()/100000),"")</f>
        <v/>
      </c>
      <c r="S120" s="33">
        <f>IF(OR(B120="",G120=""),0,IF(COUNTIF($A$5:$A$154,A120&amp;".*")&gt;0,0,G120))</f>
        <v>0</v>
      </c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 t="n"/>
      <c r="AF120" s="35" t="n"/>
      <c r="AG120" s="35" t="n"/>
      <c r="AH120" s="35" t="n"/>
      <c r="AI120" s="35" t="n"/>
      <c r="AJ120" s="35" t="n"/>
      <c r="AK120" s="35" t="n"/>
      <c r="AL120" s="35" t="n"/>
      <c r="AM120" s="35" t="n"/>
      <c r="AN120" s="35" t="n"/>
      <c r="AO120" s="35" t="n"/>
      <c r="AP120" s="35" t="n"/>
      <c r="AQ120" s="35" t="n"/>
      <c r="AR120" s="35" t="n"/>
      <c r="AS120" s="35" t="n"/>
      <c r="AT120" s="35" t="n"/>
      <c r="AU120" s="35" t="n"/>
      <c r="AV120" s="35" t="n"/>
      <c r="AW120" s="35" t="n"/>
      <c r="AX120" s="35" t="n"/>
      <c r="AY120" s="35" t="n"/>
      <c r="AZ120" s="35" t="n"/>
      <c r="BA120" s="35" t="n"/>
      <c r="BB120" s="35" t="n"/>
      <c r="BC120" s="35" t="n"/>
      <c r="BD120" s="35" t="n"/>
      <c r="BE120" s="35" t="n"/>
      <c r="BF120" s="35" t="n"/>
      <c r="BG120" s="35" t="n"/>
      <c r="BH120" s="35" t="n"/>
    </row>
    <row r="121" ht="15" customHeight="1">
      <c r="A121" s="26" t="n"/>
      <c r="B121" s="27" t="n"/>
      <c r="C121" s="27" t="n"/>
      <c r="D121" s="27" t="n"/>
      <c r="E121" s="27" t="n"/>
      <c r="F121" s="28" t="n"/>
      <c r="G121" s="27" t="n"/>
      <c r="H121" s="29" t="str">
        <f>IF(OR(F121="",G121=""),"",IF(G121=0,F121,WORKDAY(F121,G121-1)))</f>
        <v/>
      </c>
      <c r="I121" s="27" t="n"/>
      <c r="J121" s="30" t="n"/>
      <c r="K121" s="27" t="n"/>
      <c r="L121" s="28" t="n"/>
      <c r="M121" s="28" t="n"/>
      <c r="N121" s="31" t="str">
        <f>IF(OR(H121="",M121=""),"",H121-M121)</f>
        <v/>
      </c>
      <c r="O121" s="32" t="str">
        <f>IF(OR(F121="",H121=""),"",IF(StatusDate&lt;F121,0,IF(StatusDate&gt;=H121,1,NETWORKDAYS(F121,StatusDate)/MAX(1,G121))))</f>
        <v/>
      </c>
      <c r="P121" s="33" t="str">
        <f>IF(B121="","",IF(AND(K121&lt;&gt;"Complete",H121&lt;&gt;"",H121&lt;StatusDate),"Overdue",IF(K121="Blocked","Blocked",IF(AND(O121&lt;&gt;"",K121&lt;&gt;"Complete",N(J121)&lt;O121-0.2),"Behind",""))))</f>
        <v/>
      </c>
      <c r="Q121" s="32" t="str">
        <f>IF(B121="","",IF(K121="Complete",1,N(J121)))</f>
        <v/>
      </c>
      <c r="R121" s="34" t="str">
        <f>IF(AND(B121&lt;&gt;"",G121=0,H121&lt;&gt;""),IF(K121&lt;&gt;"Complete",1,-1)*(H121+ROW()/100000),"")</f>
        <v/>
      </c>
      <c r="S121" s="33">
        <f>IF(OR(B121="",G121=""),0,IF(COUNTIF($A$5:$A$154,A121&amp;".*")&gt;0,0,G121))</f>
        <v>0</v>
      </c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 t="n"/>
      <c r="AF121" s="35" t="n"/>
      <c r="AG121" s="35" t="n"/>
      <c r="AH121" s="35" t="n"/>
      <c r="AI121" s="35" t="n"/>
      <c r="AJ121" s="35" t="n"/>
      <c r="AK121" s="35" t="n"/>
      <c r="AL121" s="35" t="n"/>
      <c r="AM121" s="35" t="n"/>
      <c r="AN121" s="35" t="n"/>
      <c r="AO121" s="35" t="n"/>
      <c r="AP121" s="35" t="n"/>
      <c r="AQ121" s="35" t="n"/>
      <c r="AR121" s="35" t="n"/>
      <c r="AS121" s="35" t="n"/>
      <c r="AT121" s="35" t="n"/>
      <c r="AU121" s="35" t="n"/>
      <c r="AV121" s="35" t="n"/>
      <c r="AW121" s="35" t="n"/>
      <c r="AX121" s="35" t="n"/>
      <c r="AY121" s="35" t="n"/>
      <c r="AZ121" s="35" t="n"/>
      <c r="BA121" s="35" t="n"/>
      <c r="BB121" s="35" t="n"/>
      <c r="BC121" s="35" t="n"/>
      <c r="BD121" s="35" t="n"/>
      <c r="BE121" s="35" t="n"/>
      <c r="BF121" s="35" t="n"/>
      <c r="BG121" s="35" t="n"/>
      <c r="BH121" s="35" t="n"/>
    </row>
    <row r="122" ht="15" customHeight="1">
      <c r="A122" s="26" t="n"/>
      <c r="B122" s="27" t="n"/>
      <c r="C122" s="27" t="n"/>
      <c r="D122" s="27" t="n"/>
      <c r="E122" s="27" t="n"/>
      <c r="F122" s="28" t="n"/>
      <c r="G122" s="27" t="n"/>
      <c r="H122" s="29" t="str">
        <f>IF(OR(F122="",G122=""),"",IF(G122=0,F122,WORKDAY(F122,G122-1)))</f>
        <v/>
      </c>
      <c r="I122" s="27" t="n"/>
      <c r="J122" s="30" t="n"/>
      <c r="K122" s="27" t="n"/>
      <c r="L122" s="28" t="n"/>
      <c r="M122" s="28" t="n"/>
      <c r="N122" s="31" t="str">
        <f>IF(OR(H122="",M122=""),"",H122-M122)</f>
        <v/>
      </c>
      <c r="O122" s="32" t="str">
        <f>IF(OR(F122="",H122=""),"",IF(StatusDate&lt;F122,0,IF(StatusDate&gt;=H122,1,NETWORKDAYS(F122,StatusDate)/MAX(1,G122))))</f>
        <v/>
      </c>
      <c r="P122" s="33" t="str">
        <f>IF(B122="","",IF(AND(K122&lt;&gt;"Complete",H122&lt;&gt;"",H122&lt;StatusDate),"Overdue",IF(K122="Blocked","Blocked",IF(AND(O122&lt;&gt;"",K122&lt;&gt;"Complete",N(J122)&lt;O122-0.2),"Behind",""))))</f>
        <v/>
      </c>
      <c r="Q122" s="32" t="str">
        <f>IF(B122="","",IF(K122="Complete",1,N(J122)))</f>
        <v/>
      </c>
      <c r="R122" s="34" t="str">
        <f>IF(AND(B122&lt;&gt;"",G122=0,H122&lt;&gt;""),IF(K122&lt;&gt;"Complete",1,-1)*(H122+ROW()/100000),"")</f>
        <v/>
      </c>
      <c r="S122" s="33">
        <f>IF(OR(B122="",G122=""),0,IF(COUNTIF($A$5:$A$154,A122&amp;".*")&gt;0,0,G122))</f>
        <v>0</v>
      </c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 t="n"/>
      <c r="AF122" s="35" t="n"/>
      <c r="AG122" s="35" t="n"/>
      <c r="AH122" s="35" t="n"/>
      <c r="AI122" s="35" t="n"/>
      <c r="AJ122" s="35" t="n"/>
      <c r="AK122" s="35" t="n"/>
      <c r="AL122" s="35" t="n"/>
      <c r="AM122" s="35" t="n"/>
      <c r="AN122" s="35" t="n"/>
      <c r="AO122" s="35" t="n"/>
      <c r="AP122" s="35" t="n"/>
      <c r="AQ122" s="35" t="n"/>
      <c r="AR122" s="35" t="n"/>
      <c r="AS122" s="35" t="n"/>
      <c r="AT122" s="35" t="n"/>
      <c r="AU122" s="35" t="n"/>
      <c r="AV122" s="35" t="n"/>
      <c r="AW122" s="35" t="n"/>
      <c r="AX122" s="35" t="n"/>
      <c r="AY122" s="35" t="n"/>
      <c r="AZ122" s="35" t="n"/>
      <c r="BA122" s="35" t="n"/>
      <c r="BB122" s="35" t="n"/>
      <c r="BC122" s="35" t="n"/>
      <c r="BD122" s="35" t="n"/>
      <c r="BE122" s="35" t="n"/>
      <c r="BF122" s="35" t="n"/>
      <c r="BG122" s="35" t="n"/>
      <c r="BH122" s="35" t="n"/>
    </row>
    <row r="123" ht="15" customHeight="1">
      <c r="A123" s="26" t="n"/>
      <c r="B123" s="27" t="n"/>
      <c r="C123" s="27" t="n"/>
      <c r="D123" s="27" t="n"/>
      <c r="E123" s="27" t="n"/>
      <c r="F123" s="28" t="n"/>
      <c r="G123" s="27" t="n"/>
      <c r="H123" s="29" t="str">
        <f>IF(OR(F123="",G123=""),"",IF(G123=0,F123,WORKDAY(F123,G123-1)))</f>
        <v/>
      </c>
      <c r="I123" s="27" t="n"/>
      <c r="J123" s="30" t="n"/>
      <c r="K123" s="27" t="n"/>
      <c r="L123" s="28" t="n"/>
      <c r="M123" s="28" t="n"/>
      <c r="N123" s="31" t="str">
        <f>IF(OR(H123="",M123=""),"",H123-M123)</f>
        <v/>
      </c>
      <c r="O123" s="32" t="str">
        <f>IF(OR(F123="",H123=""),"",IF(StatusDate&lt;F123,0,IF(StatusDate&gt;=H123,1,NETWORKDAYS(F123,StatusDate)/MAX(1,G123))))</f>
        <v/>
      </c>
      <c r="P123" s="33" t="str">
        <f>IF(B123="","",IF(AND(K123&lt;&gt;"Complete",H123&lt;&gt;"",H123&lt;StatusDate),"Overdue",IF(K123="Blocked","Blocked",IF(AND(O123&lt;&gt;"",K123&lt;&gt;"Complete",N(J123)&lt;O123-0.2),"Behind",""))))</f>
        <v/>
      </c>
      <c r="Q123" s="32" t="str">
        <f>IF(B123="","",IF(K123="Complete",1,N(J123)))</f>
        <v/>
      </c>
      <c r="R123" s="34" t="str">
        <f>IF(AND(B123&lt;&gt;"",G123=0,H123&lt;&gt;""),IF(K123&lt;&gt;"Complete",1,-1)*(H123+ROW()/100000),"")</f>
        <v/>
      </c>
      <c r="S123" s="33">
        <f>IF(OR(B123="",G123=""),0,IF(COUNTIF($A$5:$A$154,A123&amp;".*")&gt;0,0,G123))</f>
        <v>0</v>
      </c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 t="n"/>
      <c r="AF123" s="35" t="n"/>
      <c r="AG123" s="35" t="n"/>
      <c r="AH123" s="35" t="n"/>
      <c r="AI123" s="35" t="n"/>
      <c r="AJ123" s="35" t="n"/>
      <c r="AK123" s="35" t="n"/>
      <c r="AL123" s="35" t="n"/>
      <c r="AM123" s="35" t="n"/>
      <c r="AN123" s="35" t="n"/>
      <c r="AO123" s="35" t="n"/>
      <c r="AP123" s="35" t="n"/>
      <c r="AQ123" s="35" t="n"/>
      <c r="AR123" s="35" t="n"/>
      <c r="AS123" s="35" t="n"/>
      <c r="AT123" s="35" t="n"/>
      <c r="AU123" s="35" t="n"/>
      <c r="AV123" s="35" t="n"/>
      <c r="AW123" s="35" t="n"/>
      <c r="AX123" s="35" t="n"/>
      <c r="AY123" s="35" t="n"/>
      <c r="AZ123" s="35" t="n"/>
      <c r="BA123" s="35" t="n"/>
      <c r="BB123" s="35" t="n"/>
      <c r="BC123" s="35" t="n"/>
      <c r="BD123" s="35" t="n"/>
      <c r="BE123" s="35" t="n"/>
      <c r="BF123" s="35" t="n"/>
      <c r="BG123" s="35" t="n"/>
      <c r="BH123" s="35" t="n"/>
    </row>
    <row r="124" ht="15" customHeight="1">
      <c r="A124" s="26" t="n"/>
      <c r="B124" s="27" t="n"/>
      <c r="C124" s="27" t="n"/>
      <c r="D124" s="27" t="n"/>
      <c r="E124" s="27" t="n"/>
      <c r="F124" s="28" t="n"/>
      <c r="G124" s="27" t="n"/>
      <c r="H124" s="29" t="str">
        <f>IF(OR(F124="",G124=""),"",IF(G124=0,F124,WORKDAY(F124,G124-1)))</f>
        <v/>
      </c>
      <c r="I124" s="27" t="n"/>
      <c r="J124" s="30" t="n"/>
      <c r="K124" s="27" t="n"/>
      <c r="L124" s="28" t="n"/>
      <c r="M124" s="28" t="n"/>
      <c r="N124" s="31" t="str">
        <f>IF(OR(H124="",M124=""),"",H124-M124)</f>
        <v/>
      </c>
      <c r="O124" s="32" t="str">
        <f>IF(OR(F124="",H124=""),"",IF(StatusDate&lt;F124,0,IF(StatusDate&gt;=H124,1,NETWORKDAYS(F124,StatusDate)/MAX(1,G124))))</f>
        <v/>
      </c>
      <c r="P124" s="33" t="str">
        <f>IF(B124="","",IF(AND(K124&lt;&gt;"Complete",H124&lt;&gt;"",H124&lt;StatusDate),"Overdue",IF(K124="Blocked","Blocked",IF(AND(O124&lt;&gt;"",K124&lt;&gt;"Complete",N(J124)&lt;O124-0.2),"Behind",""))))</f>
        <v/>
      </c>
      <c r="Q124" s="32" t="str">
        <f>IF(B124="","",IF(K124="Complete",1,N(J124)))</f>
        <v/>
      </c>
      <c r="R124" s="34" t="str">
        <f>IF(AND(B124&lt;&gt;"",G124=0,H124&lt;&gt;""),IF(K124&lt;&gt;"Complete",1,-1)*(H124+ROW()/100000),"")</f>
        <v/>
      </c>
      <c r="S124" s="33">
        <f>IF(OR(B124="",G124=""),0,IF(COUNTIF($A$5:$A$154,A124&amp;".*")&gt;0,0,G124))</f>
        <v>0</v>
      </c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 t="n"/>
      <c r="AF124" s="35" t="n"/>
      <c r="AG124" s="35" t="n"/>
      <c r="AH124" s="35" t="n"/>
      <c r="AI124" s="35" t="n"/>
      <c r="AJ124" s="35" t="n"/>
      <c r="AK124" s="35" t="n"/>
      <c r="AL124" s="35" t="n"/>
      <c r="AM124" s="35" t="n"/>
      <c r="AN124" s="35" t="n"/>
      <c r="AO124" s="35" t="n"/>
      <c r="AP124" s="35" t="n"/>
      <c r="AQ124" s="35" t="n"/>
      <c r="AR124" s="35" t="n"/>
      <c r="AS124" s="35" t="n"/>
      <c r="AT124" s="35" t="n"/>
      <c r="AU124" s="35" t="n"/>
      <c r="AV124" s="35" t="n"/>
      <c r="AW124" s="35" t="n"/>
      <c r="AX124" s="35" t="n"/>
      <c r="AY124" s="35" t="n"/>
      <c r="AZ124" s="35" t="n"/>
      <c r="BA124" s="35" t="n"/>
      <c r="BB124" s="35" t="n"/>
      <c r="BC124" s="35" t="n"/>
      <c r="BD124" s="35" t="n"/>
      <c r="BE124" s="35" t="n"/>
      <c r="BF124" s="35" t="n"/>
      <c r="BG124" s="35" t="n"/>
      <c r="BH124" s="35" t="n"/>
    </row>
    <row r="125" ht="15" customHeight="1">
      <c r="A125" s="26" t="n"/>
      <c r="B125" s="27" t="n"/>
      <c r="C125" s="27" t="n"/>
      <c r="D125" s="27" t="n"/>
      <c r="E125" s="27" t="n"/>
      <c r="F125" s="28" t="n"/>
      <c r="G125" s="27" t="n"/>
      <c r="H125" s="29" t="str">
        <f>IF(OR(F125="",G125=""),"",IF(G125=0,F125,WORKDAY(F125,G125-1)))</f>
        <v/>
      </c>
      <c r="I125" s="27" t="n"/>
      <c r="J125" s="30" t="n"/>
      <c r="K125" s="27" t="n"/>
      <c r="L125" s="28" t="n"/>
      <c r="M125" s="28" t="n"/>
      <c r="N125" s="31" t="str">
        <f>IF(OR(H125="",M125=""),"",H125-M125)</f>
        <v/>
      </c>
      <c r="O125" s="32" t="str">
        <f>IF(OR(F125="",H125=""),"",IF(StatusDate&lt;F125,0,IF(StatusDate&gt;=H125,1,NETWORKDAYS(F125,StatusDate)/MAX(1,G125))))</f>
        <v/>
      </c>
      <c r="P125" s="33" t="str">
        <f>IF(B125="","",IF(AND(K125&lt;&gt;"Complete",H125&lt;&gt;"",H125&lt;StatusDate),"Overdue",IF(K125="Blocked","Blocked",IF(AND(O125&lt;&gt;"",K125&lt;&gt;"Complete",N(J125)&lt;O125-0.2),"Behind",""))))</f>
        <v/>
      </c>
      <c r="Q125" s="32" t="str">
        <f>IF(B125="","",IF(K125="Complete",1,N(J125)))</f>
        <v/>
      </c>
      <c r="R125" s="34" t="str">
        <f>IF(AND(B125&lt;&gt;"",G125=0,H125&lt;&gt;""),IF(K125&lt;&gt;"Complete",1,-1)*(H125+ROW()/100000),"")</f>
        <v/>
      </c>
      <c r="S125" s="33">
        <f>IF(OR(B125="",G125=""),0,IF(COUNTIF($A$5:$A$154,A125&amp;".*")&gt;0,0,G125))</f>
        <v>0</v>
      </c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 t="n"/>
      <c r="AF125" s="35" t="n"/>
      <c r="AG125" s="35" t="n"/>
      <c r="AH125" s="35" t="n"/>
      <c r="AI125" s="35" t="n"/>
      <c r="AJ125" s="35" t="n"/>
      <c r="AK125" s="35" t="n"/>
      <c r="AL125" s="35" t="n"/>
      <c r="AM125" s="35" t="n"/>
      <c r="AN125" s="35" t="n"/>
      <c r="AO125" s="35" t="n"/>
      <c r="AP125" s="35" t="n"/>
      <c r="AQ125" s="35" t="n"/>
      <c r="AR125" s="35" t="n"/>
      <c r="AS125" s="35" t="n"/>
      <c r="AT125" s="35" t="n"/>
      <c r="AU125" s="35" t="n"/>
      <c r="AV125" s="35" t="n"/>
      <c r="AW125" s="35" t="n"/>
      <c r="AX125" s="35" t="n"/>
      <c r="AY125" s="35" t="n"/>
      <c r="AZ125" s="35" t="n"/>
      <c r="BA125" s="35" t="n"/>
      <c r="BB125" s="35" t="n"/>
      <c r="BC125" s="35" t="n"/>
      <c r="BD125" s="35" t="n"/>
      <c r="BE125" s="35" t="n"/>
      <c r="BF125" s="35" t="n"/>
      <c r="BG125" s="35" t="n"/>
      <c r="BH125" s="35" t="n"/>
    </row>
    <row r="126" ht="15" customHeight="1">
      <c r="A126" s="26" t="n"/>
      <c r="B126" s="27" t="n"/>
      <c r="C126" s="27" t="n"/>
      <c r="D126" s="27" t="n"/>
      <c r="E126" s="27" t="n"/>
      <c r="F126" s="28" t="n"/>
      <c r="G126" s="27" t="n"/>
      <c r="H126" s="29" t="str">
        <f>IF(OR(F126="",G126=""),"",IF(G126=0,F126,WORKDAY(F126,G126-1)))</f>
        <v/>
      </c>
      <c r="I126" s="27" t="n"/>
      <c r="J126" s="30" t="n"/>
      <c r="K126" s="27" t="n"/>
      <c r="L126" s="28" t="n"/>
      <c r="M126" s="28" t="n"/>
      <c r="N126" s="31" t="str">
        <f>IF(OR(H126="",M126=""),"",H126-M126)</f>
        <v/>
      </c>
      <c r="O126" s="32" t="str">
        <f>IF(OR(F126="",H126=""),"",IF(StatusDate&lt;F126,0,IF(StatusDate&gt;=H126,1,NETWORKDAYS(F126,StatusDate)/MAX(1,G126))))</f>
        <v/>
      </c>
      <c r="P126" s="33" t="str">
        <f>IF(B126="","",IF(AND(K126&lt;&gt;"Complete",H126&lt;&gt;"",H126&lt;StatusDate),"Overdue",IF(K126="Blocked","Blocked",IF(AND(O126&lt;&gt;"",K126&lt;&gt;"Complete",N(J126)&lt;O126-0.2),"Behind",""))))</f>
        <v/>
      </c>
      <c r="Q126" s="32" t="str">
        <f>IF(B126="","",IF(K126="Complete",1,N(J126)))</f>
        <v/>
      </c>
      <c r="R126" s="34" t="str">
        <f>IF(AND(B126&lt;&gt;"",G126=0,H126&lt;&gt;""),IF(K126&lt;&gt;"Complete",1,-1)*(H126+ROW()/100000),"")</f>
        <v/>
      </c>
      <c r="S126" s="33">
        <f>IF(OR(B126="",G126=""),0,IF(COUNTIF($A$5:$A$154,A126&amp;".*")&gt;0,0,G126))</f>
        <v>0</v>
      </c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 t="n"/>
      <c r="AF126" s="35" t="n"/>
      <c r="AG126" s="35" t="n"/>
      <c r="AH126" s="35" t="n"/>
      <c r="AI126" s="35" t="n"/>
      <c r="AJ126" s="35" t="n"/>
      <c r="AK126" s="35" t="n"/>
      <c r="AL126" s="35" t="n"/>
      <c r="AM126" s="35" t="n"/>
      <c r="AN126" s="35" t="n"/>
      <c r="AO126" s="35" t="n"/>
      <c r="AP126" s="35" t="n"/>
      <c r="AQ126" s="35" t="n"/>
      <c r="AR126" s="35" t="n"/>
      <c r="AS126" s="35" t="n"/>
      <c r="AT126" s="35" t="n"/>
      <c r="AU126" s="35" t="n"/>
      <c r="AV126" s="35" t="n"/>
      <c r="AW126" s="35" t="n"/>
      <c r="AX126" s="35" t="n"/>
      <c r="AY126" s="35" t="n"/>
      <c r="AZ126" s="35" t="n"/>
      <c r="BA126" s="35" t="n"/>
      <c r="BB126" s="35" t="n"/>
      <c r="BC126" s="35" t="n"/>
      <c r="BD126" s="35" t="n"/>
      <c r="BE126" s="35" t="n"/>
      <c r="BF126" s="35" t="n"/>
      <c r="BG126" s="35" t="n"/>
      <c r="BH126" s="35" t="n"/>
    </row>
    <row r="127" ht="15" customHeight="1">
      <c r="A127" s="26" t="n"/>
      <c r="B127" s="27" t="n"/>
      <c r="C127" s="27" t="n"/>
      <c r="D127" s="27" t="n"/>
      <c r="E127" s="27" t="n"/>
      <c r="F127" s="28" t="n"/>
      <c r="G127" s="27" t="n"/>
      <c r="H127" s="29" t="str">
        <f>IF(OR(F127="",G127=""),"",IF(G127=0,F127,WORKDAY(F127,G127-1)))</f>
        <v/>
      </c>
      <c r="I127" s="27" t="n"/>
      <c r="J127" s="30" t="n"/>
      <c r="K127" s="27" t="n"/>
      <c r="L127" s="28" t="n"/>
      <c r="M127" s="28" t="n"/>
      <c r="N127" s="31" t="str">
        <f>IF(OR(H127="",M127=""),"",H127-M127)</f>
        <v/>
      </c>
      <c r="O127" s="32" t="str">
        <f>IF(OR(F127="",H127=""),"",IF(StatusDate&lt;F127,0,IF(StatusDate&gt;=H127,1,NETWORKDAYS(F127,StatusDate)/MAX(1,G127))))</f>
        <v/>
      </c>
      <c r="P127" s="33" t="str">
        <f>IF(B127="","",IF(AND(K127&lt;&gt;"Complete",H127&lt;&gt;"",H127&lt;StatusDate),"Overdue",IF(K127="Blocked","Blocked",IF(AND(O127&lt;&gt;"",K127&lt;&gt;"Complete",N(J127)&lt;O127-0.2),"Behind",""))))</f>
        <v/>
      </c>
      <c r="Q127" s="32" t="str">
        <f>IF(B127="","",IF(K127="Complete",1,N(J127)))</f>
        <v/>
      </c>
      <c r="R127" s="34" t="str">
        <f>IF(AND(B127&lt;&gt;"",G127=0,H127&lt;&gt;""),IF(K127&lt;&gt;"Complete",1,-1)*(H127+ROW()/100000),"")</f>
        <v/>
      </c>
      <c r="S127" s="33">
        <f>IF(OR(B127="",G127=""),0,IF(COUNTIF($A$5:$A$154,A127&amp;".*")&gt;0,0,G127))</f>
        <v>0</v>
      </c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 t="n"/>
      <c r="AF127" s="35" t="n"/>
      <c r="AG127" s="35" t="n"/>
      <c r="AH127" s="35" t="n"/>
      <c r="AI127" s="35" t="n"/>
      <c r="AJ127" s="35" t="n"/>
      <c r="AK127" s="35" t="n"/>
      <c r="AL127" s="35" t="n"/>
      <c r="AM127" s="35" t="n"/>
      <c r="AN127" s="35" t="n"/>
      <c r="AO127" s="35" t="n"/>
      <c r="AP127" s="35" t="n"/>
      <c r="AQ127" s="35" t="n"/>
      <c r="AR127" s="35" t="n"/>
      <c r="AS127" s="35" t="n"/>
      <c r="AT127" s="35" t="n"/>
      <c r="AU127" s="35" t="n"/>
      <c r="AV127" s="35" t="n"/>
      <c r="AW127" s="35" t="n"/>
      <c r="AX127" s="35" t="n"/>
      <c r="AY127" s="35" t="n"/>
      <c r="AZ127" s="35" t="n"/>
      <c r="BA127" s="35" t="n"/>
      <c r="BB127" s="35" t="n"/>
      <c r="BC127" s="35" t="n"/>
      <c r="BD127" s="35" t="n"/>
      <c r="BE127" s="35" t="n"/>
      <c r="BF127" s="35" t="n"/>
      <c r="BG127" s="35" t="n"/>
      <c r="BH127" s="35" t="n"/>
    </row>
    <row r="128" ht="15" customHeight="1">
      <c r="A128" s="26" t="n"/>
      <c r="B128" s="27" t="n"/>
      <c r="C128" s="27" t="n"/>
      <c r="D128" s="27" t="n"/>
      <c r="E128" s="27" t="n"/>
      <c r="F128" s="28" t="n"/>
      <c r="G128" s="27" t="n"/>
      <c r="H128" s="29" t="str">
        <f>IF(OR(F128="",G128=""),"",IF(G128=0,F128,WORKDAY(F128,G128-1)))</f>
        <v/>
      </c>
      <c r="I128" s="27" t="n"/>
      <c r="J128" s="30" t="n"/>
      <c r="K128" s="27" t="n"/>
      <c r="L128" s="28" t="n"/>
      <c r="M128" s="28" t="n"/>
      <c r="N128" s="31" t="str">
        <f>IF(OR(H128="",M128=""),"",H128-M128)</f>
        <v/>
      </c>
      <c r="O128" s="32" t="str">
        <f>IF(OR(F128="",H128=""),"",IF(StatusDate&lt;F128,0,IF(StatusDate&gt;=H128,1,NETWORKDAYS(F128,StatusDate)/MAX(1,G128))))</f>
        <v/>
      </c>
      <c r="P128" s="33" t="str">
        <f>IF(B128="","",IF(AND(K128&lt;&gt;"Complete",H128&lt;&gt;"",H128&lt;StatusDate),"Overdue",IF(K128="Blocked","Blocked",IF(AND(O128&lt;&gt;"",K128&lt;&gt;"Complete",N(J128)&lt;O128-0.2),"Behind",""))))</f>
        <v/>
      </c>
      <c r="Q128" s="32" t="str">
        <f>IF(B128="","",IF(K128="Complete",1,N(J128)))</f>
        <v/>
      </c>
      <c r="R128" s="34" t="str">
        <f>IF(AND(B128&lt;&gt;"",G128=0,H128&lt;&gt;""),IF(K128&lt;&gt;"Complete",1,-1)*(H128+ROW()/100000),"")</f>
        <v/>
      </c>
      <c r="S128" s="33">
        <f>IF(OR(B128="",G128=""),0,IF(COUNTIF($A$5:$A$154,A128&amp;".*")&gt;0,0,G128))</f>
        <v>0</v>
      </c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 t="n"/>
      <c r="AF128" s="35" t="n"/>
      <c r="AG128" s="35" t="n"/>
      <c r="AH128" s="35" t="n"/>
      <c r="AI128" s="35" t="n"/>
      <c r="AJ128" s="35" t="n"/>
      <c r="AK128" s="35" t="n"/>
      <c r="AL128" s="35" t="n"/>
      <c r="AM128" s="35" t="n"/>
      <c r="AN128" s="35" t="n"/>
      <c r="AO128" s="35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 t="n"/>
      <c r="AZ128" s="35" t="n"/>
      <c r="BA128" s="35" t="n"/>
      <c r="BB128" s="35" t="n"/>
      <c r="BC128" s="35" t="n"/>
      <c r="BD128" s="35" t="n"/>
      <c r="BE128" s="35" t="n"/>
      <c r="BF128" s="35" t="n"/>
      <c r="BG128" s="35" t="n"/>
      <c r="BH128" s="35" t="n"/>
    </row>
    <row r="129" ht="15" customHeight="1">
      <c r="A129" s="26" t="n"/>
      <c r="B129" s="27" t="n"/>
      <c r="C129" s="27" t="n"/>
      <c r="D129" s="27" t="n"/>
      <c r="E129" s="27" t="n"/>
      <c r="F129" s="28" t="n"/>
      <c r="G129" s="27" t="n"/>
      <c r="H129" s="29" t="str">
        <f>IF(OR(F129="",G129=""),"",IF(G129=0,F129,WORKDAY(F129,G129-1)))</f>
        <v/>
      </c>
      <c r="I129" s="27" t="n"/>
      <c r="J129" s="30" t="n"/>
      <c r="K129" s="27" t="n"/>
      <c r="L129" s="28" t="n"/>
      <c r="M129" s="28" t="n"/>
      <c r="N129" s="31" t="str">
        <f>IF(OR(H129="",M129=""),"",H129-M129)</f>
        <v/>
      </c>
      <c r="O129" s="32" t="str">
        <f>IF(OR(F129="",H129=""),"",IF(StatusDate&lt;F129,0,IF(StatusDate&gt;=H129,1,NETWORKDAYS(F129,StatusDate)/MAX(1,G129))))</f>
        <v/>
      </c>
      <c r="P129" s="33" t="str">
        <f>IF(B129="","",IF(AND(K129&lt;&gt;"Complete",H129&lt;&gt;"",H129&lt;StatusDate),"Overdue",IF(K129="Blocked","Blocked",IF(AND(O129&lt;&gt;"",K129&lt;&gt;"Complete",N(J129)&lt;O129-0.2),"Behind",""))))</f>
        <v/>
      </c>
      <c r="Q129" s="32" t="str">
        <f>IF(B129="","",IF(K129="Complete",1,N(J129)))</f>
        <v/>
      </c>
      <c r="R129" s="34" t="str">
        <f>IF(AND(B129&lt;&gt;"",G129=0,H129&lt;&gt;""),IF(K129&lt;&gt;"Complete",1,-1)*(H129+ROW()/100000),"")</f>
        <v/>
      </c>
      <c r="S129" s="33">
        <f>IF(OR(B129="",G129=""),0,IF(COUNTIF($A$5:$A$154,A129&amp;".*")&gt;0,0,G129))</f>
        <v>0</v>
      </c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 t="n"/>
      <c r="AF129" s="35" t="n"/>
      <c r="AG129" s="35" t="n"/>
      <c r="AH129" s="35" t="n"/>
      <c r="AI129" s="35" t="n"/>
      <c r="AJ129" s="35" t="n"/>
      <c r="AK129" s="35" t="n"/>
      <c r="AL129" s="35" t="n"/>
      <c r="AM129" s="35" t="n"/>
      <c r="AN129" s="35" t="n"/>
      <c r="AO129" s="35" t="n"/>
      <c r="AP129" s="35" t="n"/>
      <c r="AQ129" s="35" t="n"/>
      <c r="AR129" s="35" t="n"/>
      <c r="AS129" s="35" t="n"/>
      <c r="AT129" s="35" t="n"/>
      <c r="AU129" s="35" t="n"/>
      <c r="AV129" s="35" t="n"/>
      <c r="AW129" s="35" t="n"/>
      <c r="AX129" s="35" t="n"/>
      <c r="AY129" s="35" t="n"/>
      <c r="AZ129" s="35" t="n"/>
      <c r="BA129" s="35" t="n"/>
      <c r="BB129" s="35" t="n"/>
      <c r="BC129" s="35" t="n"/>
      <c r="BD129" s="35" t="n"/>
      <c r="BE129" s="35" t="n"/>
      <c r="BF129" s="35" t="n"/>
      <c r="BG129" s="35" t="n"/>
      <c r="BH129" s="35" t="n"/>
    </row>
    <row r="130" ht="15" customHeight="1">
      <c r="A130" s="26" t="n"/>
      <c r="B130" s="27" t="n"/>
      <c r="C130" s="27" t="n"/>
      <c r="D130" s="27" t="n"/>
      <c r="E130" s="27" t="n"/>
      <c r="F130" s="28" t="n"/>
      <c r="G130" s="27" t="n"/>
      <c r="H130" s="29" t="str">
        <f>IF(OR(F130="",G130=""),"",IF(G130=0,F130,WORKDAY(F130,G130-1)))</f>
        <v/>
      </c>
      <c r="I130" s="27" t="n"/>
      <c r="J130" s="30" t="n"/>
      <c r="K130" s="27" t="n"/>
      <c r="L130" s="28" t="n"/>
      <c r="M130" s="28" t="n"/>
      <c r="N130" s="31" t="str">
        <f>IF(OR(H130="",M130=""),"",H130-M130)</f>
        <v/>
      </c>
      <c r="O130" s="32" t="str">
        <f>IF(OR(F130="",H130=""),"",IF(StatusDate&lt;F130,0,IF(StatusDate&gt;=H130,1,NETWORKDAYS(F130,StatusDate)/MAX(1,G130))))</f>
        <v/>
      </c>
      <c r="P130" s="33" t="str">
        <f>IF(B130="","",IF(AND(K130&lt;&gt;"Complete",H130&lt;&gt;"",H130&lt;StatusDate),"Overdue",IF(K130="Blocked","Blocked",IF(AND(O130&lt;&gt;"",K130&lt;&gt;"Complete",N(J130)&lt;O130-0.2),"Behind",""))))</f>
        <v/>
      </c>
      <c r="Q130" s="32" t="str">
        <f>IF(B130="","",IF(K130="Complete",1,N(J130)))</f>
        <v/>
      </c>
      <c r="R130" s="34" t="str">
        <f>IF(AND(B130&lt;&gt;"",G130=0,H130&lt;&gt;""),IF(K130&lt;&gt;"Complete",1,-1)*(H130+ROW()/100000),"")</f>
        <v/>
      </c>
      <c r="S130" s="33">
        <f>IF(OR(B130="",G130=""),0,IF(COUNTIF($A$5:$A$154,A130&amp;".*")&gt;0,0,G130))</f>
        <v>0</v>
      </c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 t="n"/>
      <c r="AF130" s="35" t="n"/>
      <c r="AG130" s="35" t="n"/>
      <c r="AH130" s="35" t="n"/>
      <c r="AI130" s="35" t="n"/>
      <c r="AJ130" s="35" t="n"/>
      <c r="AK130" s="35" t="n"/>
      <c r="AL130" s="35" t="n"/>
      <c r="AM130" s="35" t="n"/>
      <c r="AN130" s="35" t="n"/>
      <c r="AO130" s="35" t="n"/>
      <c r="AP130" s="35" t="n"/>
      <c r="AQ130" s="35" t="n"/>
      <c r="AR130" s="35" t="n"/>
      <c r="AS130" s="35" t="n"/>
      <c r="AT130" s="35" t="n"/>
      <c r="AU130" s="35" t="n"/>
      <c r="AV130" s="35" t="n"/>
      <c r="AW130" s="35" t="n"/>
      <c r="AX130" s="35" t="n"/>
      <c r="AY130" s="35" t="n"/>
      <c r="AZ130" s="35" t="n"/>
      <c r="BA130" s="35" t="n"/>
      <c r="BB130" s="35" t="n"/>
      <c r="BC130" s="35" t="n"/>
      <c r="BD130" s="35" t="n"/>
      <c r="BE130" s="35" t="n"/>
      <c r="BF130" s="35" t="n"/>
      <c r="BG130" s="35" t="n"/>
      <c r="BH130" s="35" t="n"/>
    </row>
    <row r="131" ht="15" customHeight="1">
      <c r="A131" s="26" t="n"/>
      <c r="B131" s="27" t="n"/>
      <c r="C131" s="27" t="n"/>
      <c r="D131" s="27" t="n"/>
      <c r="E131" s="27" t="n"/>
      <c r="F131" s="28" t="n"/>
      <c r="G131" s="27" t="n"/>
      <c r="H131" s="29" t="str">
        <f>IF(OR(F131="",G131=""),"",IF(G131=0,F131,WORKDAY(F131,G131-1)))</f>
        <v/>
      </c>
      <c r="I131" s="27" t="n"/>
      <c r="J131" s="30" t="n"/>
      <c r="K131" s="27" t="n"/>
      <c r="L131" s="28" t="n"/>
      <c r="M131" s="28" t="n"/>
      <c r="N131" s="31" t="str">
        <f>IF(OR(H131="",M131=""),"",H131-M131)</f>
        <v/>
      </c>
      <c r="O131" s="32" t="str">
        <f>IF(OR(F131="",H131=""),"",IF(StatusDate&lt;F131,0,IF(StatusDate&gt;=H131,1,NETWORKDAYS(F131,StatusDate)/MAX(1,G131))))</f>
        <v/>
      </c>
      <c r="P131" s="33" t="str">
        <f>IF(B131="","",IF(AND(K131&lt;&gt;"Complete",H131&lt;&gt;"",H131&lt;StatusDate),"Overdue",IF(K131="Blocked","Blocked",IF(AND(O131&lt;&gt;"",K131&lt;&gt;"Complete",N(J131)&lt;O131-0.2),"Behind",""))))</f>
        <v/>
      </c>
      <c r="Q131" s="32" t="str">
        <f>IF(B131="","",IF(K131="Complete",1,N(J131)))</f>
        <v/>
      </c>
      <c r="R131" s="34" t="str">
        <f>IF(AND(B131&lt;&gt;"",G131=0,H131&lt;&gt;""),IF(K131&lt;&gt;"Complete",1,-1)*(H131+ROW()/100000),"")</f>
        <v/>
      </c>
      <c r="S131" s="33">
        <f>IF(OR(B131="",G131=""),0,IF(COUNTIF($A$5:$A$154,A131&amp;".*")&gt;0,0,G131))</f>
        <v>0</v>
      </c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  <c r="AD131" s="35" t="n"/>
      <c r="AE131" s="35" t="n"/>
      <c r="AF131" s="35" t="n"/>
      <c r="AG131" s="35" t="n"/>
      <c r="AH131" s="35" t="n"/>
      <c r="AI131" s="35" t="n"/>
      <c r="AJ131" s="35" t="n"/>
      <c r="AK131" s="35" t="n"/>
      <c r="AL131" s="35" t="n"/>
      <c r="AM131" s="35" t="n"/>
      <c r="AN131" s="35" t="n"/>
      <c r="AO131" s="35" t="n"/>
      <c r="AP131" s="35" t="n"/>
      <c r="AQ131" s="35" t="n"/>
      <c r="AR131" s="35" t="n"/>
      <c r="AS131" s="35" t="n"/>
      <c r="AT131" s="35" t="n"/>
      <c r="AU131" s="35" t="n"/>
      <c r="AV131" s="35" t="n"/>
      <c r="AW131" s="35" t="n"/>
      <c r="AX131" s="35" t="n"/>
      <c r="AY131" s="35" t="n"/>
      <c r="AZ131" s="35" t="n"/>
      <c r="BA131" s="35" t="n"/>
      <c r="BB131" s="35" t="n"/>
      <c r="BC131" s="35" t="n"/>
      <c r="BD131" s="35" t="n"/>
      <c r="BE131" s="35" t="n"/>
      <c r="BF131" s="35" t="n"/>
      <c r="BG131" s="35" t="n"/>
      <c r="BH131" s="35" t="n"/>
    </row>
    <row r="132" ht="15" customHeight="1">
      <c r="A132" s="26" t="n"/>
      <c r="B132" s="27" t="n"/>
      <c r="C132" s="27" t="n"/>
      <c r="D132" s="27" t="n"/>
      <c r="E132" s="27" t="n"/>
      <c r="F132" s="28" t="n"/>
      <c r="G132" s="27" t="n"/>
      <c r="H132" s="29" t="str">
        <f>IF(OR(F132="",G132=""),"",IF(G132=0,F132,WORKDAY(F132,G132-1)))</f>
        <v/>
      </c>
      <c r="I132" s="27" t="n"/>
      <c r="J132" s="30" t="n"/>
      <c r="K132" s="27" t="n"/>
      <c r="L132" s="28" t="n"/>
      <c r="M132" s="28" t="n"/>
      <c r="N132" s="31" t="str">
        <f>IF(OR(H132="",M132=""),"",H132-M132)</f>
        <v/>
      </c>
      <c r="O132" s="32" t="str">
        <f>IF(OR(F132="",H132=""),"",IF(StatusDate&lt;F132,0,IF(StatusDate&gt;=H132,1,NETWORKDAYS(F132,StatusDate)/MAX(1,G132))))</f>
        <v/>
      </c>
      <c r="P132" s="33" t="str">
        <f>IF(B132="","",IF(AND(K132&lt;&gt;"Complete",H132&lt;&gt;"",H132&lt;StatusDate),"Overdue",IF(K132="Blocked","Blocked",IF(AND(O132&lt;&gt;"",K132&lt;&gt;"Complete",N(J132)&lt;O132-0.2),"Behind",""))))</f>
        <v/>
      </c>
      <c r="Q132" s="32" t="str">
        <f>IF(B132="","",IF(K132="Complete",1,N(J132)))</f>
        <v/>
      </c>
      <c r="R132" s="34" t="str">
        <f>IF(AND(B132&lt;&gt;"",G132=0,H132&lt;&gt;""),IF(K132&lt;&gt;"Complete",1,-1)*(H132+ROW()/100000),"")</f>
        <v/>
      </c>
      <c r="S132" s="33">
        <f>IF(OR(B132="",G132=""),0,IF(COUNTIF($A$5:$A$154,A132&amp;".*")&gt;0,0,G132))</f>
        <v>0</v>
      </c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 t="n"/>
      <c r="AF132" s="35" t="n"/>
      <c r="AG132" s="35" t="n"/>
      <c r="AH132" s="35" t="n"/>
      <c r="AI132" s="35" t="n"/>
      <c r="AJ132" s="35" t="n"/>
      <c r="AK132" s="35" t="n"/>
      <c r="AL132" s="35" t="n"/>
      <c r="AM132" s="35" t="n"/>
      <c r="AN132" s="35" t="n"/>
      <c r="AO132" s="35" t="n"/>
      <c r="AP132" s="35" t="n"/>
      <c r="AQ132" s="35" t="n"/>
      <c r="AR132" s="35" t="n"/>
      <c r="AS132" s="35" t="n"/>
      <c r="AT132" s="35" t="n"/>
      <c r="AU132" s="35" t="n"/>
      <c r="AV132" s="35" t="n"/>
      <c r="AW132" s="35" t="n"/>
      <c r="AX132" s="35" t="n"/>
      <c r="AY132" s="35" t="n"/>
      <c r="AZ132" s="35" t="n"/>
      <c r="BA132" s="35" t="n"/>
      <c r="BB132" s="35" t="n"/>
      <c r="BC132" s="35" t="n"/>
      <c r="BD132" s="35" t="n"/>
      <c r="BE132" s="35" t="n"/>
      <c r="BF132" s="35" t="n"/>
      <c r="BG132" s="35" t="n"/>
      <c r="BH132" s="35" t="n"/>
    </row>
    <row r="133" ht="15" customHeight="1">
      <c r="A133" s="26" t="n"/>
      <c r="B133" s="27" t="n"/>
      <c r="C133" s="27" t="n"/>
      <c r="D133" s="27" t="n"/>
      <c r="E133" s="27" t="n"/>
      <c r="F133" s="28" t="n"/>
      <c r="G133" s="27" t="n"/>
      <c r="H133" s="29" t="str">
        <f>IF(OR(F133="",G133=""),"",IF(G133=0,F133,WORKDAY(F133,G133-1)))</f>
        <v/>
      </c>
      <c r="I133" s="27" t="n"/>
      <c r="J133" s="30" t="n"/>
      <c r="K133" s="27" t="n"/>
      <c r="L133" s="28" t="n"/>
      <c r="M133" s="28" t="n"/>
      <c r="N133" s="31" t="str">
        <f>IF(OR(H133="",M133=""),"",H133-M133)</f>
        <v/>
      </c>
      <c r="O133" s="32" t="str">
        <f>IF(OR(F133="",H133=""),"",IF(StatusDate&lt;F133,0,IF(StatusDate&gt;=H133,1,NETWORKDAYS(F133,StatusDate)/MAX(1,G133))))</f>
        <v/>
      </c>
      <c r="P133" s="33" t="str">
        <f>IF(B133="","",IF(AND(K133&lt;&gt;"Complete",H133&lt;&gt;"",H133&lt;StatusDate),"Overdue",IF(K133="Blocked","Blocked",IF(AND(O133&lt;&gt;"",K133&lt;&gt;"Complete",N(J133)&lt;O133-0.2),"Behind",""))))</f>
        <v/>
      </c>
      <c r="Q133" s="32" t="str">
        <f>IF(B133="","",IF(K133="Complete",1,N(J133)))</f>
        <v/>
      </c>
      <c r="R133" s="34" t="str">
        <f>IF(AND(B133&lt;&gt;"",G133=0,H133&lt;&gt;""),IF(K133&lt;&gt;"Complete",1,-1)*(H133+ROW()/100000),"")</f>
        <v/>
      </c>
      <c r="S133" s="33">
        <f>IF(OR(B133="",G133=""),0,IF(COUNTIF($A$5:$A$154,A133&amp;".*")&gt;0,0,G133))</f>
        <v>0</v>
      </c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 t="n"/>
      <c r="AF133" s="35" t="n"/>
      <c r="AG133" s="35" t="n"/>
      <c r="AH133" s="35" t="n"/>
      <c r="AI133" s="35" t="n"/>
      <c r="AJ133" s="35" t="n"/>
      <c r="AK133" s="35" t="n"/>
      <c r="AL133" s="35" t="n"/>
      <c r="AM133" s="35" t="n"/>
      <c r="AN133" s="35" t="n"/>
      <c r="AO133" s="35" t="n"/>
      <c r="AP133" s="35" t="n"/>
      <c r="AQ133" s="35" t="n"/>
      <c r="AR133" s="35" t="n"/>
      <c r="AS133" s="35" t="n"/>
      <c r="AT133" s="35" t="n"/>
      <c r="AU133" s="35" t="n"/>
      <c r="AV133" s="35" t="n"/>
      <c r="AW133" s="35" t="n"/>
      <c r="AX133" s="35" t="n"/>
      <c r="AY133" s="35" t="n"/>
      <c r="AZ133" s="35" t="n"/>
      <c r="BA133" s="35" t="n"/>
      <c r="BB133" s="35" t="n"/>
      <c r="BC133" s="35" t="n"/>
      <c r="BD133" s="35" t="n"/>
      <c r="BE133" s="35" t="n"/>
      <c r="BF133" s="35" t="n"/>
      <c r="BG133" s="35" t="n"/>
      <c r="BH133" s="35" t="n"/>
    </row>
    <row r="134" ht="15" customHeight="1">
      <c r="A134" s="26" t="n"/>
      <c r="B134" s="27" t="n"/>
      <c r="C134" s="27" t="n"/>
      <c r="D134" s="27" t="n"/>
      <c r="E134" s="27" t="n"/>
      <c r="F134" s="28" t="n"/>
      <c r="G134" s="27" t="n"/>
      <c r="H134" s="29" t="str">
        <f>IF(OR(F134="",G134=""),"",IF(G134=0,F134,WORKDAY(F134,G134-1)))</f>
        <v/>
      </c>
      <c r="I134" s="27" t="n"/>
      <c r="J134" s="30" t="n"/>
      <c r="K134" s="27" t="n"/>
      <c r="L134" s="28" t="n"/>
      <c r="M134" s="28" t="n"/>
      <c r="N134" s="31" t="str">
        <f>IF(OR(H134="",M134=""),"",H134-M134)</f>
        <v/>
      </c>
      <c r="O134" s="32" t="str">
        <f>IF(OR(F134="",H134=""),"",IF(StatusDate&lt;F134,0,IF(StatusDate&gt;=H134,1,NETWORKDAYS(F134,StatusDate)/MAX(1,G134))))</f>
        <v/>
      </c>
      <c r="P134" s="33" t="str">
        <f>IF(B134="","",IF(AND(K134&lt;&gt;"Complete",H134&lt;&gt;"",H134&lt;StatusDate),"Overdue",IF(K134="Blocked","Blocked",IF(AND(O134&lt;&gt;"",K134&lt;&gt;"Complete",N(J134)&lt;O134-0.2),"Behind",""))))</f>
        <v/>
      </c>
      <c r="Q134" s="32" t="str">
        <f>IF(B134="","",IF(K134="Complete",1,N(J134)))</f>
        <v/>
      </c>
      <c r="R134" s="34" t="str">
        <f>IF(AND(B134&lt;&gt;"",G134=0,H134&lt;&gt;""),IF(K134&lt;&gt;"Complete",1,-1)*(H134+ROW()/100000),"")</f>
        <v/>
      </c>
      <c r="S134" s="33">
        <f>IF(OR(B134="",G134=""),0,IF(COUNTIF($A$5:$A$154,A134&amp;".*")&gt;0,0,G134))</f>
        <v>0</v>
      </c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 t="n"/>
      <c r="AF134" s="35" t="n"/>
      <c r="AG134" s="35" t="n"/>
      <c r="AH134" s="35" t="n"/>
      <c r="AI134" s="35" t="n"/>
      <c r="AJ134" s="35" t="n"/>
      <c r="AK134" s="35" t="n"/>
      <c r="AL134" s="35" t="n"/>
      <c r="AM134" s="35" t="n"/>
      <c r="AN134" s="35" t="n"/>
      <c r="AO134" s="35" t="n"/>
      <c r="AP134" s="35" t="n"/>
      <c r="AQ134" s="35" t="n"/>
      <c r="AR134" s="35" t="n"/>
      <c r="AS134" s="35" t="n"/>
      <c r="AT134" s="35" t="n"/>
      <c r="AU134" s="35" t="n"/>
      <c r="AV134" s="35" t="n"/>
      <c r="AW134" s="35" t="n"/>
      <c r="AX134" s="35" t="n"/>
      <c r="AY134" s="35" t="n"/>
      <c r="AZ134" s="35" t="n"/>
      <c r="BA134" s="35" t="n"/>
      <c r="BB134" s="35" t="n"/>
      <c r="BC134" s="35" t="n"/>
      <c r="BD134" s="35" t="n"/>
      <c r="BE134" s="35" t="n"/>
      <c r="BF134" s="35" t="n"/>
      <c r="BG134" s="35" t="n"/>
      <c r="BH134" s="35" t="n"/>
    </row>
    <row r="135" ht="15" customHeight="1">
      <c r="A135" s="26" t="n"/>
      <c r="B135" s="27" t="n"/>
      <c r="C135" s="27" t="n"/>
      <c r="D135" s="27" t="n"/>
      <c r="E135" s="27" t="n"/>
      <c r="F135" s="28" t="n"/>
      <c r="G135" s="27" t="n"/>
      <c r="H135" s="29" t="str">
        <f>IF(OR(F135="",G135=""),"",IF(G135=0,F135,WORKDAY(F135,G135-1)))</f>
        <v/>
      </c>
      <c r="I135" s="27" t="n"/>
      <c r="J135" s="30" t="n"/>
      <c r="K135" s="27" t="n"/>
      <c r="L135" s="28" t="n"/>
      <c r="M135" s="28" t="n"/>
      <c r="N135" s="31" t="str">
        <f>IF(OR(H135="",M135=""),"",H135-M135)</f>
        <v/>
      </c>
      <c r="O135" s="32" t="str">
        <f>IF(OR(F135="",H135=""),"",IF(StatusDate&lt;F135,0,IF(StatusDate&gt;=H135,1,NETWORKDAYS(F135,StatusDate)/MAX(1,G135))))</f>
        <v/>
      </c>
      <c r="P135" s="33" t="str">
        <f>IF(B135="","",IF(AND(K135&lt;&gt;"Complete",H135&lt;&gt;"",H135&lt;StatusDate),"Overdue",IF(K135="Blocked","Blocked",IF(AND(O135&lt;&gt;"",K135&lt;&gt;"Complete",N(J135)&lt;O135-0.2),"Behind",""))))</f>
        <v/>
      </c>
      <c r="Q135" s="32" t="str">
        <f>IF(B135="","",IF(K135="Complete",1,N(J135)))</f>
        <v/>
      </c>
      <c r="R135" s="34" t="str">
        <f>IF(AND(B135&lt;&gt;"",G135=0,H135&lt;&gt;""),IF(K135&lt;&gt;"Complete",1,-1)*(H135+ROW()/100000),"")</f>
        <v/>
      </c>
      <c r="S135" s="33">
        <f>IF(OR(B135="",G135=""),0,IF(COUNTIF($A$5:$A$154,A135&amp;".*")&gt;0,0,G135))</f>
        <v>0</v>
      </c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 t="n"/>
      <c r="AF135" s="35" t="n"/>
      <c r="AG135" s="35" t="n"/>
      <c r="AH135" s="35" t="n"/>
      <c r="AI135" s="35" t="n"/>
      <c r="AJ135" s="35" t="n"/>
      <c r="AK135" s="35" t="n"/>
      <c r="AL135" s="35" t="n"/>
      <c r="AM135" s="35" t="n"/>
      <c r="AN135" s="35" t="n"/>
      <c r="AO135" s="35" t="n"/>
      <c r="AP135" s="35" t="n"/>
      <c r="AQ135" s="35" t="n"/>
      <c r="AR135" s="35" t="n"/>
      <c r="AS135" s="35" t="n"/>
      <c r="AT135" s="35" t="n"/>
      <c r="AU135" s="35" t="n"/>
      <c r="AV135" s="35" t="n"/>
      <c r="AW135" s="35" t="n"/>
      <c r="AX135" s="35" t="n"/>
      <c r="AY135" s="35" t="n"/>
      <c r="AZ135" s="35" t="n"/>
      <c r="BA135" s="35" t="n"/>
      <c r="BB135" s="35" t="n"/>
      <c r="BC135" s="35" t="n"/>
      <c r="BD135" s="35" t="n"/>
      <c r="BE135" s="35" t="n"/>
      <c r="BF135" s="35" t="n"/>
      <c r="BG135" s="35" t="n"/>
      <c r="BH135" s="35" t="n"/>
    </row>
    <row r="136" ht="15" customHeight="1">
      <c r="A136" s="26" t="n"/>
      <c r="B136" s="27" t="n"/>
      <c r="C136" s="27" t="n"/>
      <c r="D136" s="27" t="n"/>
      <c r="E136" s="27" t="n"/>
      <c r="F136" s="28" t="n"/>
      <c r="G136" s="27" t="n"/>
      <c r="H136" s="29" t="str">
        <f>IF(OR(F136="",G136=""),"",IF(G136=0,F136,WORKDAY(F136,G136-1)))</f>
        <v/>
      </c>
      <c r="I136" s="27" t="n"/>
      <c r="J136" s="30" t="n"/>
      <c r="K136" s="27" t="n"/>
      <c r="L136" s="28" t="n"/>
      <c r="M136" s="28" t="n"/>
      <c r="N136" s="31" t="str">
        <f>IF(OR(H136="",M136=""),"",H136-M136)</f>
        <v/>
      </c>
      <c r="O136" s="32" t="str">
        <f>IF(OR(F136="",H136=""),"",IF(StatusDate&lt;F136,0,IF(StatusDate&gt;=H136,1,NETWORKDAYS(F136,StatusDate)/MAX(1,G136))))</f>
        <v/>
      </c>
      <c r="P136" s="33" t="str">
        <f>IF(B136="","",IF(AND(K136&lt;&gt;"Complete",H136&lt;&gt;"",H136&lt;StatusDate),"Overdue",IF(K136="Blocked","Blocked",IF(AND(O136&lt;&gt;"",K136&lt;&gt;"Complete",N(J136)&lt;O136-0.2),"Behind",""))))</f>
        <v/>
      </c>
      <c r="Q136" s="32" t="str">
        <f>IF(B136="","",IF(K136="Complete",1,N(J136)))</f>
        <v/>
      </c>
      <c r="R136" s="34" t="str">
        <f>IF(AND(B136&lt;&gt;"",G136=0,H136&lt;&gt;""),IF(K136&lt;&gt;"Complete",1,-1)*(H136+ROW()/100000),"")</f>
        <v/>
      </c>
      <c r="S136" s="33">
        <f>IF(OR(B136="",G136=""),0,IF(COUNTIF($A$5:$A$154,A136&amp;".*")&gt;0,0,G136))</f>
        <v>0</v>
      </c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 t="n"/>
      <c r="AF136" s="35" t="n"/>
      <c r="AG136" s="35" t="n"/>
      <c r="AH136" s="35" t="n"/>
      <c r="AI136" s="35" t="n"/>
      <c r="AJ136" s="35" t="n"/>
      <c r="AK136" s="35" t="n"/>
      <c r="AL136" s="35" t="n"/>
      <c r="AM136" s="35" t="n"/>
      <c r="AN136" s="35" t="n"/>
      <c r="AO136" s="35" t="n"/>
      <c r="AP136" s="35" t="n"/>
      <c r="AQ136" s="35" t="n"/>
      <c r="AR136" s="35" t="n"/>
      <c r="AS136" s="35" t="n"/>
      <c r="AT136" s="35" t="n"/>
      <c r="AU136" s="35" t="n"/>
      <c r="AV136" s="35" t="n"/>
      <c r="AW136" s="35" t="n"/>
      <c r="AX136" s="35" t="n"/>
      <c r="AY136" s="35" t="n"/>
      <c r="AZ136" s="35" t="n"/>
      <c r="BA136" s="35" t="n"/>
      <c r="BB136" s="35" t="n"/>
      <c r="BC136" s="35" t="n"/>
      <c r="BD136" s="35" t="n"/>
      <c r="BE136" s="35" t="n"/>
      <c r="BF136" s="35" t="n"/>
      <c r="BG136" s="35" t="n"/>
      <c r="BH136" s="35" t="n"/>
    </row>
    <row r="137" ht="15" customHeight="1">
      <c r="A137" s="26" t="n"/>
      <c r="B137" s="27" t="n"/>
      <c r="C137" s="27" t="n"/>
      <c r="D137" s="27" t="n"/>
      <c r="E137" s="27" t="n"/>
      <c r="F137" s="28" t="n"/>
      <c r="G137" s="27" t="n"/>
      <c r="H137" s="29" t="str">
        <f>IF(OR(F137="",G137=""),"",IF(G137=0,F137,WORKDAY(F137,G137-1)))</f>
        <v/>
      </c>
      <c r="I137" s="27" t="n"/>
      <c r="J137" s="30" t="n"/>
      <c r="K137" s="27" t="n"/>
      <c r="L137" s="28" t="n"/>
      <c r="M137" s="28" t="n"/>
      <c r="N137" s="31" t="str">
        <f>IF(OR(H137="",M137=""),"",H137-M137)</f>
        <v/>
      </c>
      <c r="O137" s="32" t="str">
        <f>IF(OR(F137="",H137=""),"",IF(StatusDate&lt;F137,0,IF(StatusDate&gt;=H137,1,NETWORKDAYS(F137,StatusDate)/MAX(1,G137))))</f>
        <v/>
      </c>
      <c r="P137" s="33" t="str">
        <f>IF(B137="","",IF(AND(K137&lt;&gt;"Complete",H137&lt;&gt;"",H137&lt;StatusDate),"Overdue",IF(K137="Blocked","Blocked",IF(AND(O137&lt;&gt;"",K137&lt;&gt;"Complete",N(J137)&lt;O137-0.2),"Behind",""))))</f>
        <v/>
      </c>
      <c r="Q137" s="32" t="str">
        <f>IF(B137="","",IF(K137="Complete",1,N(J137)))</f>
        <v/>
      </c>
      <c r="R137" s="34" t="str">
        <f>IF(AND(B137&lt;&gt;"",G137=0,H137&lt;&gt;""),IF(K137&lt;&gt;"Complete",1,-1)*(H137+ROW()/100000),"")</f>
        <v/>
      </c>
      <c r="S137" s="33">
        <f>IF(OR(B137="",G137=""),0,IF(COUNTIF($A$5:$A$154,A137&amp;".*")&gt;0,0,G137))</f>
        <v>0</v>
      </c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  <c r="AD137" s="35" t="n"/>
      <c r="AE137" s="35" t="n"/>
      <c r="AF137" s="35" t="n"/>
      <c r="AG137" s="35" t="n"/>
      <c r="AH137" s="35" t="n"/>
      <c r="AI137" s="35" t="n"/>
      <c r="AJ137" s="35" t="n"/>
      <c r="AK137" s="35" t="n"/>
      <c r="AL137" s="35" t="n"/>
      <c r="AM137" s="35" t="n"/>
      <c r="AN137" s="35" t="n"/>
      <c r="AO137" s="35" t="n"/>
      <c r="AP137" s="35" t="n"/>
      <c r="AQ137" s="35" t="n"/>
      <c r="AR137" s="35" t="n"/>
      <c r="AS137" s="35" t="n"/>
      <c r="AT137" s="35" t="n"/>
      <c r="AU137" s="35" t="n"/>
      <c r="AV137" s="35" t="n"/>
      <c r="AW137" s="35" t="n"/>
      <c r="AX137" s="35" t="n"/>
      <c r="AY137" s="35" t="n"/>
      <c r="AZ137" s="35" t="n"/>
      <c r="BA137" s="35" t="n"/>
      <c r="BB137" s="35" t="n"/>
      <c r="BC137" s="35" t="n"/>
      <c r="BD137" s="35" t="n"/>
      <c r="BE137" s="35" t="n"/>
      <c r="BF137" s="35" t="n"/>
      <c r="BG137" s="35" t="n"/>
      <c r="BH137" s="35" t="n"/>
    </row>
    <row r="138" ht="15" customHeight="1">
      <c r="A138" s="26" t="n"/>
      <c r="B138" s="27" t="n"/>
      <c r="C138" s="27" t="n"/>
      <c r="D138" s="27" t="n"/>
      <c r="E138" s="27" t="n"/>
      <c r="F138" s="28" t="n"/>
      <c r="G138" s="27" t="n"/>
      <c r="H138" s="29" t="str">
        <f>IF(OR(F138="",G138=""),"",IF(G138=0,F138,WORKDAY(F138,G138-1)))</f>
        <v/>
      </c>
      <c r="I138" s="27" t="n"/>
      <c r="J138" s="30" t="n"/>
      <c r="K138" s="27" t="n"/>
      <c r="L138" s="28" t="n"/>
      <c r="M138" s="28" t="n"/>
      <c r="N138" s="31" t="str">
        <f>IF(OR(H138="",M138=""),"",H138-M138)</f>
        <v/>
      </c>
      <c r="O138" s="32" t="str">
        <f>IF(OR(F138="",H138=""),"",IF(StatusDate&lt;F138,0,IF(StatusDate&gt;=H138,1,NETWORKDAYS(F138,StatusDate)/MAX(1,G138))))</f>
        <v/>
      </c>
      <c r="P138" s="33" t="str">
        <f>IF(B138="","",IF(AND(K138&lt;&gt;"Complete",H138&lt;&gt;"",H138&lt;StatusDate),"Overdue",IF(K138="Blocked","Blocked",IF(AND(O138&lt;&gt;"",K138&lt;&gt;"Complete",N(J138)&lt;O138-0.2),"Behind",""))))</f>
        <v/>
      </c>
      <c r="Q138" s="32" t="str">
        <f>IF(B138="","",IF(K138="Complete",1,N(J138)))</f>
        <v/>
      </c>
      <c r="R138" s="34" t="str">
        <f>IF(AND(B138&lt;&gt;"",G138=0,H138&lt;&gt;""),IF(K138&lt;&gt;"Complete",1,-1)*(H138+ROW()/100000),"")</f>
        <v/>
      </c>
      <c r="S138" s="33">
        <f>IF(OR(B138="",G138=""),0,IF(COUNTIF($A$5:$A$154,A138&amp;".*")&gt;0,0,G138))</f>
        <v>0</v>
      </c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 t="n"/>
      <c r="AF138" s="35" t="n"/>
      <c r="AG138" s="35" t="n"/>
      <c r="AH138" s="35" t="n"/>
      <c r="AI138" s="35" t="n"/>
      <c r="AJ138" s="35" t="n"/>
      <c r="AK138" s="35" t="n"/>
      <c r="AL138" s="35" t="n"/>
      <c r="AM138" s="35" t="n"/>
      <c r="AN138" s="35" t="n"/>
      <c r="AO138" s="35" t="n"/>
      <c r="AP138" s="35" t="n"/>
      <c r="AQ138" s="35" t="n"/>
      <c r="AR138" s="35" t="n"/>
      <c r="AS138" s="35" t="n"/>
      <c r="AT138" s="35" t="n"/>
      <c r="AU138" s="35" t="n"/>
      <c r="AV138" s="35" t="n"/>
      <c r="AW138" s="35" t="n"/>
      <c r="AX138" s="35" t="n"/>
      <c r="AY138" s="35" t="n"/>
      <c r="AZ138" s="35" t="n"/>
      <c r="BA138" s="35" t="n"/>
      <c r="BB138" s="35" t="n"/>
      <c r="BC138" s="35" t="n"/>
      <c r="BD138" s="35" t="n"/>
      <c r="BE138" s="35" t="n"/>
      <c r="BF138" s="35" t="n"/>
      <c r="BG138" s="35" t="n"/>
      <c r="BH138" s="35" t="n"/>
    </row>
    <row r="139" ht="15" customHeight="1">
      <c r="A139" s="26" t="n"/>
      <c r="B139" s="27" t="n"/>
      <c r="C139" s="27" t="n"/>
      <c r="D139" s="27" t="n"/>
      <c r="E139" s="27" t="n"/>
      <c r="F139" s="28" t="n"/>
      <c r="G139" s="27" t="n"/>
      <c r="H139" s="29" t="str">
        <f>IF(OR(F139="",G139=""),"",IF(G139=0,F139,WORKDAY(F139,G139-1)))</f>
        <v/>
      </c>
      <c r="I139" s="27" t="n"/>
      <c r="J139" s="30" t="n"/>
      <c r="K139" s="27" t="n"/>
      <c r="L139" s="28" t="n"/>
      <c r="M139" s="28" t="n"/>
      <c r="N139" s="31" t="str">
        <f>IF(OR(H139="",M139=""),"",H139-M139)</f>
        <v/>
      </c>
      <c r="O139" s="32" t="str">
        <f>IF(OR(F139="",H139=""),"",IF(StatusDate&lt;F139,0,IF(StatusDate&gt;=H139,1,NETWORKDAYS(F139,StatusDate)/MAX(1,G139))))</f>
        <v/>
      </c>
      <c r="P139" s="33" t="str">
        <f>IF(B139="","",IF(AND(K139&lt;&gt;"Complete",H139&lt;&gt;"",H139&lt;StatusDate),"Overdue",IF(K139="Blocked","Blocked",IF(AND(O139&lt;&gt;"",K139&lt;&gt;"Complete",N(J139)&lt;O139-0.2),"Behind",""))))</f>
        <v/>
      </c>
      <c r="Q139" s="32" t="str">
        <f>IF(B139="","",IF(K139="Complete",1,N(J139)))</f>
        <v/>
      </c>
      <c r="R139" s="34" t="str">
        <f>IF(AND(B139&lt;&gt;"",G139=0,H139&lt;&gt;""),IF(K139&lt;&gt;"Complete",1,-1)*(H139+ROW()/100000),"")</f>
        <v/>
      </c>
      <c r="S139" s="33">
        <f>IF(OR(B139="",G139=""),0,IF(COUNTIF($A$5:$A$154,A139&amp;".*")&gt;0,0,G139))</f>
        <v>0</v>
      </c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 t="n"/>
      <c r="AF139" s="35" t="n"/>
      <c r="AG139" s="35" t="n"/>
      <c r="AH139" s="35" t="n"/>
      <c r="AI139" s="35" t="n"/>
      <c r="AJ139" s="35" t="n"/>
      <c r="AK139" s="35" t="n"/>
      <c r="AL139" s="35" t="n"/>
      <c r="AM139" s="35" t="n"/>
      <c r="AN139" s="35" t="n"/>
      <c r="AO139" s="35" t="n"/>
      <c r="AP139" s="35" t="n"/>
      <c r="AQ139" s="35" t="n"/>
      <c r="AR139" s="35" t="n"/>
      <c r="AS139" s="35" t="n"/>
      <c r="AT139" s="35" t="n"/>
      <c r="AU139" s="35" t="n"/>
      <c r="AV139" s="35" t="n"/>
      <c r="AW139" s="35" t="n"/>
      <c r="AX139" s="35" t="n"/>
      <c r="AY139" s="35" t="n"/>
      <c r="AZ139" s="35" t="n"/>
      <c r="BA139" s="35" t="n"/>
      <c r="BB139" s="35" t="n"/>
      <c r="BC139" s="35" t="n"/>
      <c r="BD139" s="35" t="n"/>
      <c r="BE139" s="35" t="n"/>
      <c r="BF139" s="35" t="n"/>
      <c r="BG139" s="35" t="n"/>
      <c r="BH139" s="35" t="n"/>
    </row>
    <row r="140" ht="15" customHeight="1">
      <c r="A140" s="26" t="n"/>
      <c r="B140" s="27" t="n"/>
      <c r="C140" s="27" t="n"/>
      <c r="D140" s="27" t="n"/>
      <c r="E140" s="27" t="n"/>
      <c r="F140" s="28" t="n"/>
      <c r="G140" s="27" t="n"/>
      <c r="H140" s="29" t="str">
        <f>IF(OR(F140="",G140=""),"",IF(G140=0,F140,WORKDAY(F140,G140-1)))</f>
        <v/>
      </c>
      <c r="I140" s="27" t="n"/>
      <c r="J140" s="30" t="n"/>
      <c r="K140" s="27" t="n"/>
      <c r="L140" s="28" t="n"/>
      <c r="M140" s="28" t="n"/>
      <c r="N140" s="31" t="str">
        <f>IF(OR(H140="",M140=""),"",H140-M140)</f>
        <v/>
      </c>
      <c r="O140" s="32" t="str">
        <f>IF(OR(F140="",H140=""),"",IF(StatusDate&lt;F140,0,IF(StatusDate&gt;=H140,1,NETWORKDAYS(F140,StatusDate)/MAX(1,G140))))</f>
        <v/>
      </c>
      <c r="P140" s="33" t="str">
        <f>IF(B140="","",IF(AND(K140&lt;&gt;"Complete",H140&lt;&gt;"",H140&lt;StatusDate),"Overdue",IF(K140="Blocked","Blocked",IF(AND(O140&lt;&gt;"",K140&lt;&gt;"Complete",N(J140)&lt;O140-0.2),"Behind",""))))</f>
        <v/>
      </c>
      <c r="Q140" s="32" t="str">
        <f>IF(B140="","",IF(K140="Complete",1,N(J140)))</f>
        <v/>
      </c>
      <c r="R140" s="34" t="str">
        <f>IF(AND(B140&lt;&gt;"",G140=0,H140&lt;&gt;""),IF(K140&lt;&gt;"Complete",1,-1)*(H140+ROW()/100000),"")</f>
        <v/>
      </c>
      <c r="S140" s="33">
        <f>IF(OR(B140="",G140=""),0,IF(COUNTIF($A$5:$A$154,A140&amp;".*")&gt;0,0,G140))</f>
        <v>0</v>
      </c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 t="n"/>
      <c r="AF140" s="35" t="n"/>
      <c r="AG140" s="35" t="n"/>
      <c r="AH140" s="35" t="n"/>
      <c r="AI140" s="35" t="n"/>
      <c r="AJ140" s="35" t="n"/>
      <c r="AK140" s="35" t="n"/>
      <c r="AL140" s="35" t="n"/>
      <c r="AM140" s="35" t="n"/>
      <c r="AN140" s="35" t="n"/>
      <c r="AO140" s="35" t="n"/>
      <c r="AP140" s="35" t="n"/>
      <c r="AQ140" s="35" t="n"/>
      <c r="AR140" s="35" t="n"/>
      <c r="AS140" s="35" t="n"/>
      <c r="AT140" s="35" t="n"/>
      <c r="AU140" s="35" t="n"/>
      <c r="AV140" s="35" t="n"/>
      <c r="AW140" s="35" t="n"/>
      <c r="AX140" s="35" t="n"/>
      <c r="AY140" s="35" t="n"/>
      <c r="AZ140" s="35" t="n"/>
      <c r="BA140" s="35" t="n"/>
      <c r="BB140" s="35" t="n"/>
      <c r="BC140" s="35" t="n"/>
      <c r="BD140" s="35" t="n"/>
      <c r="BE140" s="35" t="n"/>
      <c r="BF140" s="35" t="n"/>
      <c r="BG140" s="35" t="n"/>
      <c r="BH140" s="35" t="n"/>
    </row>
    <row r="141" ht="15" customHeight="1">
      <c r="A141" s="26" t="n"/>
      <c r="B141" s="27" t="n"/>
      <c r="C141" s="27" t="n"/>
      <c r="D141" s="27" t="n"/>
      <c r="E141" s="27" t="n"/>
      <c r="F141" s="28" t="n"/>
      <c r="G141" s="27" t="n"/>
      <c r="H141" s="29" t="str">
        <f>IF(OR(F141="",G141=""),"",IF(G141=0,F141,WORKDAY(F141,G141-1)))</f>
        <v/>
      </c>
      <c r="I141" s="27" t="n"/>
      <c r="J141" s="30" t="n"/>
      <c r="K141" s="27" t="n"/>
      <c r="L141" s="28" t="n"/>
      <c r="M141" s="28" t="n"/>
      <c r="N141" s="31" t="str">
        <f>IF(OR(H141="",M141=""),"",H141-M141)</f>
        <v/>
      </c>
      <c r="O141" s="32" t="str">
        <f>IF(OR(F141="",H141=""),"",IF(StatusDate&lt;F141,0,IF(StatusDate&gt;=H141,1,NETWORKDAYS(F141,StatusDate)/MAX(1,G141))))</f>
        <v/>
      </c>
      <c r="P141" s="33" t="str">
        <f>IF(B141="","",IF(AND(K141&lt;&gt;"Complete",H141&lt;&gt;"",H141&lt;StatusDate),"Overdue",IF(K141="Blocked","Blocked",IF(AND(O141&lt;&gt;"",K141&lt;&gt;"Complete",N(J141)&lt;O141-0.2),"Behind",""))))</f>
        <v/>
      </c>
      <c r="Q141" s="32" t="str">
        <f>IF(B141="","",IF(K141="Complete",1,N(J141)))</f>
        <v/>
      </c>
      <c r="R141" s="34" t="str">
        <f>IF(AND(B141&lt;&gt;"",G141=0,H141&lt;&gt;""),IF(K141&lt;&gt;"Complete",1,-1)*(H141+ROW()/100000),"")</f>
        <v/>
      </c>
      <c r="S141" s="33">
        <f>IF(OR(B141="",G141=""),0,IF(COUNTIF($A$5:$A$154,A141&amp;".*")&gt;0,0,G141))</f>
        <v>0</v>
      </c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35" t="n"/>
      <c r="AR141" s="35" t="n"/>
      <c r="AS141" s="35" t="n"/>
      <c r="AT141" s="35" t="n"/>
      <c r="AU141" s="35" t="n"/>
      <c r="AV141" s="35" t="n"/>
      <c r="AW141" s="35" t="n"/>
      <c r="AX141" s="35" t="n"/>
      <c r="AY141" s="35" t="n"/>
      <c r="AZ141" s="35" t="n"/>
      <c r="BA141" s="35" t="n"/>
      <c r="BB141" s="35" t="n"/>
      <c r="BC141" s="35" t="n"/>
      <c r="BD141" s="35" t="n"/>
      <c r="BE141" s="35" t="n"/>
      <c r="BF141" s="35" t="n"/>
      <c r="BG141" s="35" t="n"/>
      <c r="BH141" s="35" t="n"/>
    </row>
    <row r="142" ht="15" customHeight="1">
      <c r="A142" s="26" t="n"/>
      <c r="B142" s="27" t="n"/>
      <c r="C142" s="27" t="n"/>
      <c r="D142" s="27" t="n"/>
      <c r="E142" s="27" t="n"/>
      <c r="F142" s="28" t="n"/>
      <c r="G142" s="27" t="n"/>
      <c r="H142" s="29" t="str">
        <f>IF(OR(F142="",G142=""),"",IF(G142=0,F142,WORKDAY(F142,G142-1)))</f>
        <v/>
      </c>
      <c r="I142" s="27" t="n"/>
      <c r="J142" s="30" t="n"/>
      <c r="K142" s="27" t="n"/>
      <c r="L142" s="28" t="n"/>
      <c r="M142" s="28" t="n"/>
      <c r="N142" s="31" t="str">
        <f>IF(OR(H142="",M142=""),"",H142-M142)</f>
        <v/>
      </c>
      <c r="O142" s="32" t="str">
        <f>IF(OR(F142="",H142=""),"",IF(StatusDate&lt;F142,0,IF(StatusDate&gt;=H142,1,NETWORKDAYS(F142,StatusDate)/MAX(1,G142))))</f>
        <v/>
      </c>
      <c r="P142" s="33" t="str">
        <f>IF(B142="","",IF(AND(K142&lt;&gt;"Complete",H142&lt;&gt;"",H142&lt;StatusDate),"Overdue",IF(K142="Blocked","Blocked",IF(AND(O142&lt;&gt;"",K142&lt;&gt;"Complete",N(J142)&lt;O142-0.2),"Behind",""))))</f>
        <v/>
      </c>
      <c r="Q142" s="32" t="str">
        <f>IF(B142="","",IF(K142="Complete",1,N(J142)))</f>
        <v/>
      </c>
      <c r="R142" s="34" t="str">
        <f>IF(AND(B142&lt;&gt;"",G142=0,H142&lt;&gt;""),IF(K142&lt;&gt;"Complete",1,-1)*(H142+ROW()/100000),"")</f>
        <v/>
      </c>
      <c r="S142" s="33">
        <f>IF(OR(B142="",G142=""),0,IF(COUNTIF($A$5:$A$154,A142&amp;".*")&gt;0,0,G142))</f>
        <v>0</v>
      </c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 t="n"/>
      <c r="AF142" s="35" t="n"/>
      <c r="AG142" s="35" t="n"/>
      <c r="AH142" s="35" t="n"/>
      <c r="AI142" s="35" t="n"/>
      <c r="AJ142" s="35" t="n"/>
      <c r="AK142" s="35" t="n"/>
      <c r="AL142" s="35" t="n"/>
      <c r="AM142" s="35" t="n"/>
      <c r="AN142" s="35" t="n"/>
      <c r="AO142" s="35" t="n"/>
      <c r="AP142" s="35" t="n"/>
      <c r="AQ142" s="35" t="n"/>
      <c r="AR142" s="35" t="n"/>
      <c r="AS142" s="35" t="n"/>
      <c r="AT142" s="35" t="n"/>
      <c r="AU142" s="35" t="n"/>
      <c r="AV142" s="35" t="n"/>
      <c r="AW142" s="35" t="n"/>
      <c r="AX142" s="35" t="n"/>
      <c r="AY142" s="35" t="n"/>
      <c r="AZ142" s="35" t="n"/>
      <c r="BA142" s="35" t="n"/>
      <c r="BB142" s="35" t="n"/>
      <c r="BC142" s="35" t="n"/>
      <c r="BD142" s="35" t="n"/>
      <c r="BE142" s="35" t="n"/>
      <c r="BF142" s="35" t="n"/>
      <c r="BG142" s="35" t="n"/>
      <c r="BH142" s="35" t="n"/>
    </row>
    <row r="143" ht="15" customHeight="1">
      <c r="A143" s="26" t="n"/>
      <c r="B143" s="27" t="n"/>
      <c r="C143" s="27" t="n"/>
      <c r="D143" s="27" t="n"/>
      <c r="E143" s="27" t="n"/>
      <c r="F143" s="28" t="n"/>
      <c r="G143" s="27" t="n"/>
      <c r="H143" s="29" t="str">
        <f>IF(OR(F143="",G143=""),"",IF(G143=0,F143,WORKDAY(F143,G143-1)))</f>
        <v/>
      </c>
      <c r="I143" s="27" t="n"/>
      <c r="J143" s="30" t="n"/>
      <c r="K143" s="27" t="n"/>
      <c r="L143" s="28" t="n"/>
      <c r="M143" s="28" t="n"/>
      <c r="N143" s="31" t="str">
        <f>IF(OR(H143="",M143=""),"",H143-M143)</f>
        <v/>
      </c>
      <c r="O143" s="32" t="str">
        <f>IF(OR(F143="",H143=""),"",IF(StatusDate&lt;F143,0,IF(StatusDate&gt;=H143,1,NETWORKDAYS(F143,StatusDate)/MAX(1,G143))))</f>
        <v/>
      </c>
      <c r="P143" s="33" t="str">
        <f>IF(B143="","",IF(AND(K143&lt;&gt;"Complete",H143&lt;&gt;"",H143&lt;StatusDate),"Overdue",IF(K143="Blocked","Blocked",IF(AND(O143&lt;&gt;"",K143&lt;&gt;"Complete",N(J143)&lt;O143-0.2),"Behind",""))))</f>
        <v/>
      </c>
      <c r="Q143" s="32" t="str">
        <f>IF(B143="","",IF(K143="Complete",1,N(J143)))</f>
        <v/>
      </c>
      <c r="R143" s="34" t="str">
        <f>IF(AND(B143&lt;&gt;"",G143=0,H143&lt;&gt;""),IF(K143&lt;&gt;"Complete",1,-1)*(H143+ROW()/100000),"")</f>
        <v/>
      </c>
      <c r="S143" s="33">
        <f>IF(OR(B143="",G143=""),0,IF(COUNTIF($A$5:$A$154,A143&amp;".*")&gt;0,0,G143))</f>
        <v>0</v>
      </c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  <c r="AD143" s="35" t="n"/>
      <c r="AE143" s="35" t="n"/>
      <c r="AF143" s="35" t="n"/>
      <c r="AG143" s="35" t="n"/>
      <c r="AH143" s="35" t="n"/>
      <c r="AI143" s="35" t="n"/>
      <c r="AJ143" s="35" t="n"/>
      <c r="AK143" s="35" t="n"/>
      <c r="AL143" s="35" t="n"/>
      <c r="AM143" s="35" t="n"/>
      <c r="AN143" s="35" t="n"/>
      <c r="AO143" s="35" t="n"/>
      <c r="AP143" s="35" t="n"/>
      <c r="AQ143" s="35" t="n"/>
      <c r="AR143" s="35" t="n"/>
      <c r="AS143" s="35" t="n"/>
      <c r="AT143" s="35" t="n"/>
      <c r="AU143" s="35" t="n"/>
      <c r="AV143" s="35" t="n"/>
      <c r="AW143" s="35" t="n"/>
      <c r="AX143" s="35" t="n"/>
      <c r="AY143" s="35" t="n"/>
      <c r="AZ143" s="35" t="n"/>
      <c r="BA143" s="35" t="n"/>
      <c r="BB143" s="35" t="n"/>
      <c r="BC143" s="35" t="n"/>
      <c r="BD143" s="35" t="n"/>
      <c r="BE143" s="35" t="n"/>
      <c r="BF143" s="35" t="n"/>
      <c r="BG143" s="35" t="n"/>
      <c r="BH143" s="35" t="n"/>
    </row>
    <row r="144" ht="15" customHeight="1">
      <c r="A144" s="26" t="n"/>
      <c r="B144" s="27" t="n"/>
      <c r="C144" s="27" t="n"/>
      <c r="D144" s="27" t="n"/>
      <c r="E144" s="27" t="n"/>
      <c r="F144" s="28" t="n"/>
      <c r="G144" s="27" t="n"/>
      <c r="H144" s="29" t="str">
        <f>IF(OR(F144="",G144=""),"",IF(G144=0,F144,WORKDAY(F144,G144-1)))</f>
        <v/>
      </c>
      <c r="I144" s="27" t="n"/>
      <c r="J144" s="30" t="n"/>
      <c r="K144" s="27" t="n"/>
      <c r="L144" s="28" t="n"/>
      <c r="M144" s="28" t="n"/>
      <c r="N144" s="31" t="str">
        <f>IF(OR(H144="",M144=""),"",H144-M144)</f>
        <v/>
      </c>
      <c r="O144" s="32" t="str">
        <f>IF(OR(F144="",H144=""),"",IF(StatusDate&lt;F144,0,IF(StatusDate&gt;=H144,1,NETWORKDAYS(F144,StatusDate)/MAX(1,G144))))</f>
        <v/>
      </c>
      <c r="P144" s="33" t="str">
        <f>IF(B144="","",IF(AND(K144&lt;&gt;"Complete",H144&lt;&gt;"",H144&lt;StatusDate),"Overdue",IF(K144="Blocked","Blocked",IF(AND(O144&lt;&gt;"",K144&lt;&gt;"Complete",N(J144)&lt;O144-0.2),"Behind",""))))</f>
        <v/>
      </c>
      <c r="Q144" s="32" t="str">
        <f>IF(B144="","",IF(K144="Complete",1,N(J144)))</f>
        <v/>
      </c>
      <c r="R144" s="34" t="str">
        <f>IF(AND(B144&lt;&gt;"",G144=0,H144&lt;&gt;""),IF(K144&lt;&gt;"Complete",1,-1)*(H144+ROW()/100000),"")</f>
        <v/>
      </c>
      <c r="S144" s="33">
        <f>IF(OR(B144="",G144=""),0,IF(COUNTIF($A$5:$A$154,A144&amp;".*")&gt;0,0,G144))</f>
        <v>0</v>
      </c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 t="n"/>
      <c r="AF144" s="35" t="n"/>
      <c r="AG144" s="35" t="n"/>
      <c r="AH144" s="35" t="n"/>
      <c r="AI144" s="35" t="n"/>
      <c r="AJ144" s="35" t="n"/>
      <c r="AK144" s="35" t="n"/>
      <c r="AL144" s="35" t="n"/>
      <c r="AM144" s="35" t="n"/>
      <c r="AN144" s="35" t="n"/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 t="n"/>
      <c r="AZ144" s="35" t="n"/>
      <c r="BA144" s="35" t="n"/>
      <c r="BB144" s="35" t="n"/>
      <c r="BC144" s="35" t="n"/>
      <c r="BD144" s="35" t="n"/>
      <c r="BE144" s="35" t="n"/>
      <c r="BF144" s="35" t="n"/>
      <c r="BG144" s="35" t="n"/>
      <c r="BH144" s="35" t="n"/>
    </row>
    <row r="145" ht="15" customHeight="1">
      <c r="A145" s="26" t="n"/>
      <c r="B145" s="27" t="n"/>
      <c r="C145" s="27" t="n"/>
      <c r="D145" s="27" t="n"/>
      <c r="E145" s="27" t="n"/>
      <c r="F145" s="28" t="n"/>
      <c r="G145" s="27" t="n"/>
      <c r="H145" s="29" t="str">
        <f>IF(OR(F145="",G145=""),"",IF(G145=0,F145,WORKDAY(F145,G145-1)))</f>
        <v/>
      </c>
      <c r="I145" s="27" t="n"/>
      <c r="J145" s="30" t="n"/>
      <c r="K145" s="27" t="n"/>
      <c r="L145" s="28" t="n"/>
      <c r="M145" s="28" t="n"/>
      <c r="N145" s="31" t="str">
        <f>IF(OR(H145="",M145=""),"",H145-M145)</f>
        <v/>
      </c>
      <c r="O145" s="32" t="str">
        <f>IF(OR(F145="",H145=""),"",IF(StatusDate&lt;F145,0,IF(StatusDate&gt;=H145,1,NETWORKDAYS(F145,StatusDate)/MAX(1,G145))))</f>
        <v/>
      </c>
      <c r="P145" s="33" t="str">
        <f>IF(B145="","",IF(AND(K145&lt;&gt;"Complete",H145&lt;&gt;"",H145&lt;StatusDate),"Overdue",IF(K145="Blocked","Blocked",IF(AND(O145&lt;&gt;"",K145&lt;&gt;"Complete",N(J145)&lt;O145-0.2),"Behind",""))))</f>
        <v/>
      </c>
      <c r="Q145" s="32" t="str">
        <f>IF(B145="","",IF(K145="Complete",1,N(J145)))</f>
        <v/>
      </c>
      <c r="R145" s="34" t="str">
        <f>IF(AND(B145&lt;&gt;"",G145=0,H145&lt;&gt;""),IF(K145&lt;&gt;"Complete",1,-1)*(H145+ROW()/100000),"")</f>
        <v/>
      </c>
      <c r="S145" s="33">
        <f>IF(OR(B145="",G145=""),0,IF(COUNTIF($A$5:$A$154,A145&amp;".*")&gt;0,0,G145))</f>
        <v>0</v>
      </c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 t="n"/>
      <c r="AF145" s="35" t="n"/>
      <c r="AG145" s="35" t="n"/>
      <c r="AH145" s="35" t="n"/>
      <c r="AI145" s="35" t="n"/>
      <c r="AJ145" s="35" t="n"/>
      <c r="AK145" s="35" t="n"/>
      <c r="AL145" s="35" t="n"/>
      <c r="AM145" s="35" t="n"/>
      <c r="AN145" s="35" t="n"/>
      <c r="AO145" s="35" t="n"/>
      <c r="AP145" s="35" t="n"/>
      <c r="AQ145" s="35" t="n"/>
      <c r="AR145" s="35" t="n"/>
      <c r="AS145" s="35" t="n"/>
      <c r="AT145" s="35" t="n"/>
      <c r="AU145" s="35" t="n"/>
      <c r="AV145" s="35" t="n"/>
      <c r="AW145" s="35" t="n"/>
      <c r="AX145" s="35" t="n"/>
      <c r="AY145" s="35" t="n"/>
      <c r="AZ145" s="35" t="n"/>
      <c r="BA145" s="35" t="n"/>
      <c r="BB145" s="35" t="n"/>
      <c r="BC145" s="35" t="n"/>
      <c r="BD145" s="35" t="n"/>
      <c r="BE145" s="35" t="n"/>
      <c r="BF145" s="35" t="n"/>
      <c r="BG145" s="35" t="n"/>
      <c r="BH145" s="35" t="n"/>
    </row>
    <row r="146" ht="15" customHeight="1">
      <c r="A146" s="26" t="n"/>
      <c r="B146" s="27" t="n"/>
      <c r="C146" s="27" t="n"/>
      <c r="D146" s="27" t="n"/>
      <c r="E146" s="27" t="n"/>
      <c r="F146" s="28" t="n"/>
      <c r="G146" s="27" t="n"/>
      <c r="H146" s="29" t="str">
        <f>IF(OR(F146="",G146=""),"",IF(G146=0,F146,WORKDAY(F146,G146-1)))</f>
        <v/>
      </c>
      <c r="I146" s="27" t="n"/>
      <c r="J146" s="30" t="n"/>
      <c r="K146" s="27" t="n"/>
      <c r="L146" s="28" t="n"/>
      <c r="M146" s="28" t="n"/>
      <c r="N146" s="31" t="str">
        <f>IF(OR(H146="",M146=""),"",H146-M146)</f>
        <v/>
      </c>
      <c r="O146" s="32" t="str">
        <f>IF(OR(F146="",H146=""),"",IF(StatusDate&lt;F146,0,IF(StatusDate&gt;=H146,1,NETWORKDAYS(F146,StatusDate)/MAX(1,G146))))</f>
        <v/>
      </c>
      <c r="P146" s="33" t="str">
        <f>IF(B146="","",IF(AND(K146&lt;&gt;"Complete",H146&lt;&gt;"",H146&lt;StatusDate),"Overdue",IF(K146="Blocked","Blocked",IF(AND(O146&lt;&gt;"",K146&lt;&gt;"Complete",N(J146)&lt;O146-0.2),"Behind",""))))</f>
        <v/>
      </c>
      <c r="Q146" s="32" t="str">
        <f>IF(B146="","",IF(K146="Complete",1,N(J146)))</f>
        <v/>
      </c>
      <c r="R146" s="34" t="str">
        <f>IF(AND(B146&lt;&gt;"",G146=0,H146&lt;&gt;""),IF(K146&lt;&gt;"Complete",1,-1)*(H146+ROW()/100000),"")</f>
        <v/>
      </c>
      <c r="S146" s="33">
        <f>IF(OR(B146="",G146=""),0,IF(COUNTIF($A$5:$A$154,A146&amp;".*")&gt;0,0,G146))</f>
        <v>0</v>
      </c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 t="n"/>
      <c r="AF146" s="35" t="n"/>
      <c r="AG146" s="35" t="n"/>
      <c r="AH146" s="35" t="n"/>
      <c r="AI146" s="35" t="n"/>
      <c r="AJ146" s="35" t="n"/>
      <c r="AK146" s="35" t="n"/>
      <c r="AL146" s="35" t="n"/>
      <c r="AM146" s="35" t="n"/>
      <c r="AN146" s="35" t="n"/>
      <c r="AO146" s="35" t="n"/>
      <c r="AP146" s="35" t="n"/>
      <c r="AQ146" s="35" t="n"/>
      <c r="AR146" s="35" t="n"/>
      <c r="AS146" s="35" t="n"/>
      <c r="AT146" s="35" t="n"/>
      <c r="AU146" s="35" t="n"/>
      <c r="AV146" s="35" t="n"/>
      <c r="AW146" s="35" t="n"/>
      <c r="AX146" s="35" t="n"/>
      <c r="AY146" s="35" t="n"/>
      <c r="AZ146" s="35" t="n"/>
      <c r="BA146" s="35" t="n"/>
      <c r="BB146" s="35" t="n"/>
      <c r="BC146" s="35" t="n"/>
      <c r="BD146" s="35" t="n"/>
      <c r="BE146" s="35" t="n"/>
      <c r="BF146" s="35" t="n"/>
      <c r="BG146" s="35" t="n"/>
      <c r="BH146" s="35" t="n"/>
    </row>
    <row r="147" ht="15" customHeight="1">
      <c r="A147" s="26" t="n"/>
      <c r="B147" s="27" t="n"/>
      <c r="C147" s="27" t="n"/>
      <c r="D147" s="27" t="n"/>
      <c r="E147" s="27" t="n"/>
      <c r="F147" s="28" t="n"/>
      <c r="G147" s="27" t="n"/>
      <c r="H147" s="29" t="str">
        <f>IF(OR(F147="",G147=""),"",IF(G147=0,F147,WORKDAY(F147,G147-1)))</f>
        <v/>
      </c>
      <c r="I147" s="27" t="n"/>
      <c r="J147" s="30" t="n"/>
      <c r="K147" s="27" t="n"/>
      <c r="L147" s="28" t="n"/>
      <c r="M147" s="28" t="n"/>
      <c r="N147" s="31" t="str">
        <f>IF(OR(H147="",M147=""),"",H147-M147)</f>
        <v/>
      </c>
      <c r="O147" s="32" t="str">
        <f>IF(OR(F147="",H147=""),"",IF(StatusDate&lt;F147,0,IF(StatusDate&gt;=H147,1,NETWORKDAYS(F147,StatusDate)/MAX(1,G147))))</f>
        <v/>
      </c>
      <c r="P147" s="33" t="str">
        <f>IF(B147="","",IF(AND(K147&lt;&gt;"Complete",H147&lt;&gt;"",H147&lt;StatusDate),"Overdue",IF(K147="Blocked","Blocked",IF(AND(O147&lt;&gt;"",K147&lt;&gt;"Complete",N(J147)&lt;O147-0.2),"Behind",""))))</f>
        <v/>
      </c>
      <c r="Q147" s="32" t="str">
        <f>IF(B147="","",IF(K147="Complete",1,N(J147)))</f>
        <v/>
      </c>
      <c r="R147" s="34" t="str">
        <f>IF(AND(B147&lt;&gt;"",G147=0,H147&lt;&gt;""),IF(K147&lt;&gt;"Complete",1,-1)*(H147+ROW()/100000),"")</f>
        <v/>
      </c>
      <c r="S147" s="33">
        <f>IF(OR(B147="",G147=""),0,IF(COUNTIF($A$5:$A$154,A147&amp;".*")&gt;0,0,G147))</f>
        <v>0</v>
      </c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35" t="n"/>
      <c r="AR147" s="35" t="n"/>
      <c r="AS147" s="35" t="n"/>
      <c r="AT147" s="35" t="n"/>
      <c r="AU147" s="35" t="n"/>
      <c r="AV147" s="35" t="n"/>
      <c r="AW147" s="35" t="n"/>
      <c r="AX147" s="35" t="n"/>
      <c r="AY147" s="35" t="n"/>
      <c r="AZ147" s="35" t="n"/>
      <c r="BA147" s="35" t="n"/>
      <c r="BB147" s="35" t="n"/>
      <c r="BC147" s="35" t="n"/>
      <c r="BD147" s="35" t="n"/>
      <c r="BE147" s="35" t="n"/>
      <c r="BF147" s="35" t="n"/>
      <c r="BG147" s="35" t="n"/>
      <c r="BH147" s="35" t="n"/>
    </row>
    <row r="148" ht="15" customHeight="1">
      <c r="A148" s="26" t="n"/>
      <c r="B148" s="27" t="n"/>
      <c r="C148" s="27" t="n"/>
      <c r="D148" s="27" t="n"/>
      <c r="E148" s="27" t="n"/>
      <c r="F148" s="28" t="n"/>
      <c r="G148" s="27" t="n"/>
      <c r="H148" s="29" t="str">
        <f>IF(OR(F148="",G148=""),"",IF(G148=0,F148,WORKDAY(F148,G148-1)))</f>
        <v/>
      </c>
      <c r="I148" s="27" t="n"/>
      <c r="J148" s="30" t="n"/>
      <c r="K148" s="27" t="n"/>
      <c r="L148" s="28" t="n"/>
      <c r="M148" s="28" t="n"/>
      <c r="N148" s="31" t="str">
        <f>IF(OR(H148="",M148=""),"",H148-M148)</f>
        <v/>
      </c>
      <c r="O148" s="32" t="str">
        <f>IF(OR(F148="",H148=""),"",IF(StatusDate&lt;F148,0,IF(StatusDate&gt;=H148,1,NETWORKDAYS(F148,StatusDate)/MAX(1,G148))))</f>
        <v/>
      </c>
      <c r="P148" s="33" t="str">
        <f>IF(B148="","",IF(AND(K148&lt;&gt;"Complete",H148&lt;&gt;"",H148&lt;StatusDate),"Overdue",IF(K148="Blocked","Blocked",IF(AND(O148&lt;&gt;"",K148&lt;&gt;"Complete",N(J148)&lt;O148-0.2),"Behind",""))))</f>
        <v/>
      </c>
      <c r="Q148" s="32" t="str">
        <f>IF(B148="","",IF(K148="Complete",1,N(J148)))</f>
        <v/>
      </c>
      <c r="R148" s="34" t="str">
        <f>IF(AND(B148&lt;&gt;"",G148=0,H148&lt;&gt;""),IF(K148&lt;&gt;"Complete",1,-1)*(H148+ROW()/100000),"")</f>
        <v/>
      </c>
      <c r="S148" s="33">
        <f>IF(OR(B148="",G148=""),0,IF(COUNTIF($A$5:$A$154,A148&amp;".*")&gt;0,0,G148))</f>
        <v>0</v>
      </c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 t="n"/>
      <c r="AF148" s="35" t="n"/>
      <c r="AG148" s="35" t="n"/>
      <c r="AH148" s="35" t="n"/>
      <c r="AI148" s="35" t="n"/>
      <c r="AJ148" s="35" t="n"/>
      <c r="AK148" s="35" t="n"/>
      <c r="AL148" s="35" t="n"/>
      <c r="AM148" s="35" t="n"/>
      <c r="AN148" s="35" t="n"/>
      <c r="AO148" s="35" t="n"/>
      <c r="AP148" s="35" t="n"/>
      <c r="AQ148" s="35" t="n"/>
      <c r="AR148" s="35" t="n"/>
      <c r="AS148" s="35" t="n"/>
      <c r="AT148" s="35" t="n"/>
      <c r="AU148" s="35" t="n"/>
      <c r="AV148" s="35" t="n"/>
      <c r="AW148" s="35" t="n"/>
      <c r="AX148" s="35" t="n"/>
      <c r="AY148" s="35" t="n"/>
      <c r="AZ148" s="35" t="n"/>
      <c r="BA148" s="35" t="n"/>
      <c r="BB148" s="35" t="n"/>
      <c r="BC148" s="35" t="n"/>
      <c r="BD148" s="35" t="n"/>
      <c r="BE148" s="35" t="n"/>
      <c r="BF148" s="35" t="n"/>
      <c r="BG148" s="35" t="n"/>
      <c r="BH148" s="35" t="n"/>
    </row>
    <row r="149" ht="15" customHeight="1">
      <c r="A149" s="26" t="n"/>
      <c r="B149" s="27" t="n"/>
      <c r="C149" s="27" t="n"/>
      <c r="D149" s="27" t="n"/>
      <c r="E149" s="27" t="n"/>
      <c r="F149" s="28" t="n"/>
      <c r="G149" s="27" t="n"/>
      <c r="H149" s="29" t="str">
        <f>IF(OR(F149="",G149=""),"",IF(G149=0,F149,WORKDAY(F149,G149-1)))</f>
        <v/>
      </c>
      <c r="I149" s="27" t="n"/>
      <c r="J149" s="30" t="n"/>
      <c r="K149" s="27" t="n"/>
      <c r="L149" s="28" t="n"/>
      <c r="M149" s="28" t="n"/>
      <c r="N149" s="31" t="str">
        <f>IF(OR(H149="",M149=""),"",H149-M149)</f>
        <v/>
      </c>
      <c r="O149" s="32" t="str">
        <f>IF(OR(F149="",H149=""),"",IF(StatusDate&lt;F149,0,IF(StatusDate&gt;=H149,1,NETWORKDAYS(F149,StatusDate)/MAX(1,G149))))</f>
        <v/>
      </c>
      <c r="P149" s="33" t="str">
        <f>IF(B149="","",IF(AND(K149&lt;&gt;"Complete",H149&lt;&gt;"",H149&lt;StatusDate),"Overdue",IF(K149="Blocked","Blocked",IF(AND(O149&lt;&gt;"",K149&lt;&gt;"Complete",N(J149)&lt;O149-0.2),"Behind",""))))</f>
        <v/>
      </c>
      <c r="Q149" s="32" t="str">
        <f>IF(B149="","",IF(K149="Complete",1,N(J149)))</f>
        <v/>
      </c>
      <c r="R149" s="34" t="str">
        <f>IF(AND(B149&lt;&gt;"",G149=0,H149&lt;&gt;""),IF(K149&lt;&gt;"Complete",1,-1)*(H149+ROW()/100000),"")</f>
        <v/>
      </c>
      <c r="S149" s="33">
        <f>IF(OR(B149="",G149=""),0,IF(COUNTIF($A$5:$A$154,A149&amp;".*")&gt;0,0,G149))</f>
        <v>0</v>
      </c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35" t="n"/>
      <c r="AX149" s="35" t="n"/>
      <c r="AY149" s="35" t="n"/>
      <c r="AZ149" s="35" t="n"/>
      <c r="BA149" s="35" t="n"/>
      <c r="BB149" s="35" t="n"/>
      <c r="BC149" s="35" t="n"/>
      <c r="BD149" s="35" t="n"/>
      <c r="BE149" s="35" t="n"/>
      <c r="BF149" s="35" t="n"/>
      <c r="BG149" s="35" t="n"/>
      <c r="BH149" s="35" t="n"/>
    </row>
    <row r="150" ht="15" customHeight="1">
      <c r="A150" s="26" t="n"/>
      <c r="B150" s="27" t="n"/>
      <c r="C150" s="27" t="n"/>
      <c r="D150" s="27" t="n"/>
      <c r="E150" s="27" t="n"/>
      <c r="F150" s="28" t="n"/>
      <c r="G150" s="27" t="n"/>
      <c r="H150" s="29" t="str">
        <f>IF(OR(F150="",G150=""),"",IF(G150=0,F150,WORKDAY(F150,G150-1)))</f>
        <v/>
      </c>
      <c r="I150" s="27" t="n"/>
      <c r="J150" s="30" t="n"/>
      <c r="K150" s="27" t="n"/>
      <c r="L150" s="28" t="n"/>
      <c r="M150" s="28" t="n"/>
      <c r="N150" s="31" t="str">
        <f>IF(OR(H150="",M150=""),"",H150-M150)</f>
        <v/>
      </c>
      <c r="O150" s="32" t="str">
        <f>IF(OR(F150="",H150=""),"",IF(StatusDate&lt;F150,0,IF(StatusDate&gt;=H150,1,NETWORKDAYS(F150,StatusDate)/MAX(1,G150))))</f>
        <v/>
      </c>
      <c r="P150" s="33" t="str">
        <f>IF(B150="","",IF(AND(K150&lt;&gt;"Complete",H150&lt;&gt;"",H150&lt;StatusDate),"Overdue",IF(K150="Blocked","Blocked",IF(AND(O150&lt;&gt;"",K150&lt;&gt;"Complete",N(J150)&lt;O150-0.2),"Behind",""))))</f>
        <v/>
      </c>
      <c r="Q150" s="32" t="str">
        <f>IF(B150="","",IF(K150="Complete",1,N(J150)))</f>
        <v/>
      </c>
      <c r="R150" s="34" t="str">
        <f>IF(AND(B150&lt;&gt;"",G150=0,H150&lt;&gt;""),IF(K150&lt;&gt;"Complete",1,-1)*(H150+ROW()/100000),"")</f>
        <v/>
      </c>
      <c r="S150" s="33">
        <f>IF(OR(B150="",G150=""),0,IF(COUNTIF($A$5:$A$154,A150&amp;".*")&gt;0,0,G150))</f>
        <v>0</v>
      </c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 t="n"/>
      <c r="AF150" s="35" t="n"/>
      <c r="AG150" s="35" t="n"/>
      <c r="AH150" s="35" t="n"/>
      <c r="AI150" s="35" t="n"/>
      <c r="AJ150" s="35" t="n"/>
      <c r="AK150" s="35" t="n"/>
      <c r="AL150" s="35" t="n"/>
      <c r="AM150" s="35" t="n"/>
      <c r="AN150" s="35" t="n"/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 t="n"/>
      <c r="AZ150" s="35" t="n"/>
      <c r="BA150" s="35" t="n"/>
      <c r="BB150" s="35" t="n"/>
      <c r="BC150" s="35" t="n"/>
      <c r="BD150" s="35" t="n"/>
      <c r="BE150" s="35" t="n"/>
      <c r="BF150" s="35" t="n"/>
      <c r="BG150" s="35" t="n"/>
      <c r="BH150" s="35" t="n"/>
    </row>
    <row r="151" ht="15" customHeight="1">
      <c r="A151" s="26" t="n"/>
      <c r="B151" s="27" t="n"/>
      <c r="C151" s="27" t="n"/>
      <c r="D151" s="27" t="n"/>
      <c r="E151" s="27" t="n"/>
      <c r="F151" s="28" t="n"/>
      <c r="G151" s="27" t="n"/>
      <c r="H151" s="29" t="str">
        <f>IF(OR(F151="",G151=""),"",IF(G151=0,F151,WORKDAY(F151,G151-1)))</f>
        <v/>
      </c>
      <c r="I151" s="27" t="n"/>
      <c r="J151" s="30" t="n"/>
      <c r="K151" s="27" t="n"/>
      <c r="L151" s="28" t="n"/>
      <c r="M151" s="28" t="n"/>
      <c r="N151" s="31" t="str">
        <f>IF(OR(H151="",M151=""),"",H151-M151)</f>
        <v/>
      </c>
      <c r="O151" s="32" t="str">
        <f>IF(OR(F151="",H151=""),"",IF(StatusDate&lt;F151,0,IF(StatusDate&gt;=H151,1,NETWORKDAYS(F151,StatusDate)/MAX(1,G151))))</f>
        <v/>
      </c>
      <c r="P151" s="33" t="str">
        <f>IF(B151="","",IF(AND(K151&lt;&gt;"Complete",H151&lt;&gt;"",H151&lt;StatusDate),"Overdue",IF(K151="Blocked","Blocked",IF(AND(O151&lt;&gt;"",K151&lt;&gt;"Complete",N(J151)&lt;O151-0.2),"Behind",""))))</f>
        <v/>
      </c>
      <c r="Q151" s="32" t="str">
        <f>IF(B151="","",IF(K151="Complete",1,N(J151)))</f>
        <v/>
      </c>
      <c r="R151" s="34" t="str">
        <f>IF(AND(B151&lt;&gt;"",G151=0,H151&lt;&gt;""),IF(K151&lt;&gt;"Complete",1,-1)*(H151+ROW()/100000),"")</f>
        <v/>
      </c>
      <c r="S151" s="33">
        <f>IF(OR(B151="",G151=""),0,IF(COUNTIF($A$5:$A$154,A151&amp;".*")&gt;0,0,G151))</f>
        <v>0</v>
      </c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 t="n"/>
      <c r="AF151" s="35" t="n"/>
      <c r="AG151" s="35" t="n"/>
      <c r="AH151" s="35" t="n"/>
      <c r="AI151" s="35" t="n"/>
      <c r="AJ151" s="35" t="n"/>
      <c r="AK151" s="35" t="n"/>
      <c r="AL151" s="35" t="n"/>
      <c r="AM151" s="35" t="n"/>
      <c r="AN151" s="35" t="n"/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 t="n"/>
      <c r="AZ151" s="35" t="n"/>
      <c r="BA151" s="35" t="n"/>
      <c r="BB151" s="35" t="n"/>
      <c r="BC151" s="35" t="n"/>
      <c r="BD151" s="35" t="n"/>
      <c r="BE151" s="35" t="n"/>
      <c r="BF151" s="35" t="n"/>
      <c r="BG151" s="35" t="n"/>
      <c r="BH151" s="35" t="n"/>
    </row>
    <row r="152" ht="15" customHeight="1">
      <c r="A152" s="26" t="n"/>
      <c r="B152" s="27" t="n"/>
      <c r="C152" s="27" t="n"/>
      <c r="D152" s="27" t="n"/>
      <c r="E152" s="27" t="n"/>
      <c r="F152" s="28" t="n"/>
      <c r="G152" s="27" t="n"/>
      <c r="H152" s="29" t="str">
        <f>IF(OR(F152="",G152=""),"",IF(G152=0,F152,WORKDAY(F152,G152-1)))</f>
        <v/>
      </c>
      <c r="I152" s="27" t="n"/>
      <c r="J152" s="30" t="n"/>
      <c r="K152" s="27" t="n"/>
      <c r="L152" s="28" t="n"/>
      <c r="M152" s="28" t="n"/>
      <c r="N152" s="31" t="str">
        <f>IF(OR(H152="",M152=""),"",H152-M152)</f>
        <v/>
      </c>
      <c r="O152" s="32" t="str">
        <f>IF(OR(F152="",H152=""),"",IF(StatusDate&lt;F152,0,IF(StatusDate&gt;=H152,1,NETWORKDAYS(F152,StatusDate)/MAX(1,G152))))</f>
        <v/>
      </c>
      <c r="P152" s="33" t="str">
        <f>IF(B152="","",IF(AND(K152&lt;&gt;"Complete",H152&lt;&gt;"",H152&lt;StatusDate),"Overdue",IF(K152="Blocked","Blocked",IF(AND(O152&lt;&gt;"",K152&lt;&gt;"Complete",N(J152)&lt;O152-0.2),"Behind",""))))</f>
        <v/>
      </c>
      <c r="Q152" s="32" t="str">
        <f>IF(B152="","",IF(K152="Complete",1,N(J152)))</f>
        <v/>
      </c>
      <c r="R152" s="34" t="str">
        <f>IF(AND(B152&lt;&gt;"",G152=0,H152&lt;&gt;""),IF(K152&lt;&gt;"Complete",1,-1)*(H152+ROW()/100000),"")</f>
        <v/>
      </c>
      <c r="S152" s="33">
        <f>IF(OR(B152="",G152=""),0,IF(COUNTIF($A$5:$A$154,A152&amp;".*")&gt;0,0,G152))</f>
        <v>0</v>
      </c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 t="n"/>
      <c r="AF152" s="35" t="n"/>
      <c r="AG152" s="35" t="n"/>
      <c r="AH152" s="35" t="n"/>
      <c r="AI152" s="35" t="n"/>
      <c r="AJ152" s="35" t="n"/>
      <c r="AK152" s="35" t="n"/>
      <c r="AL152" s="35" t="n"/>
      <c r="AM152" s="35" t="n"/>
      <c r="AN152" s="35" t="n"/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 t="n"/>
      <c r="AZ152" s="35" t="n"/>
      <c r="BA152" s="35" t="n"/>
      <c r="BB152" s="35" t="n"/>
      <c r="BC152" s="35" t="n"/>
      <c r="BD152" s="35" t="n"/>
      <c r="BE152" s="35" t="n"/>
      <c r="BF152" s="35" t="n"/>
      <c r="BG152" s="35" t="n"/>
      <c r="BH152" s="35" t="n"/>
    </row>
    <row r="153" ht="15" customHeight="1">
      <c r="A153" s="26" t="n"/>
      <c r="B153" s="27" t="n"/>
      <c r="C153" s="27" t="n"/>
      <c r="D153" s="27" t="n"/>
      <c r="E153" s="27" t="n"/>
      <c r="F153" s="28" t="n"/>
      <c r="G153" s="27" t="n"/>
      <c r="H153" s="29" t="str">
        <f>IF(OR(F153="",G153=""),"",IF(G153=0,F153,WORKDAY(F153,G153-1)))</f>
        <v/>
      </c>
      <c r="I153" s="27" t="n"/>
      <c r="J153" s="30" t="n"/>
      <c r="K153" s="27" t="n"/>
      <c r="L153" s="28" t="n"/>
      <c r="M153" s="28" t="n"/>
      <c r="N153" s="31" t="str">
        <f>IF(OR(H153="",M153=""),"",H153-M153)</f>
        <v/>
      </c>
      <c r="O153" s="32" t="str">
        <f>IF(OR(F153="",H153=""),"",IF(StatusDate&lt;F153,0,IF(StatusDate&gt;=H153,1,NETWORKDAYS(F153,StatusDate)/MAX(1,G153))))</f>
        <v/>
      </c>
      <c r="P153" s="33" t="str">
        <f>IF(B153="","",IF(AND(K153&lt;&gt;"Complete",H153&lt;&gt;"",H153&lt;StatusDate),"Overdue",IF(K153="Blocked","Blocked",IF(AND(O153&lt;&gt;"",K153&lt;&gt;"Complete",N(J153)&lt;O153-0.2),"Behind",""))))</f>
        <v/>
      </c>
      <c r="Q153" s="32" t="str">
        <f>IF(B153="","",IF(K153="Complete",1,N(J153)))</f>
        <v/>
      </c>
      <c r="R153" s="34" t="str">
        <f>IF(AND(B153&lt;&gt;"",G153=0,H153&lt;&gt;""),IF(K153&lt;&gt;"Complete",1,-1)*(H153+ROW()/100000),"")</f>
        <v/>
      </c>
      <c r="S153" s="33">
        <f>IF(OR(B153="",G153=""),0,IF(COUNTIF($A$5:$A$154,A153&amp;".*")&gt;0,0,G153))</f>
        <v>0</v>
      </c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 t="n"/>
      <c r="AF153" s="35" t="n"/>
      <c r="AG153" s="35" t="n"/>
      <c r="AH153" s="35" t="n"/>
      <c r="AI153" s="35" t="n"/>
      <c r="AJ153" s="35" t="n"/>
      <c r="AK153" s="35" t="n"/>
      <c r="AL153" s="35" t="n"/>
      <c r="AM153" s="35" t="n"/>
      <c r="AN153" s="35" t="n"/>
      <c r="AO153" s="35" t="n"/>
      <c r="AP153" s="35" t="n"/>
      <c r="AQ153" s="35" t="n"/>
      <c r="AR153" s="35" t="n"/>
      <c r="AS153" s="35" t="n"/>
      <c r="AT153" s="35" t="n"/>
      <c r="AU153" s="35" t="n"/>
      <c r="AV153" s="35" t="n"/>
      <c r="AW153" s="35" t="n"/>
      <c r="AX153" s="35" t="n"/>
      <c r="AY153" s="35" t="n"/>
      <c r="AZ153" s="35" t="n"/>
      <c r="BA153" s="35" t="n"/>
      <c r="BB153" s="35" t="n"/>
      <c r="BC153" s="35" t="n"/>
      <c r="BD153" s="35" t="n"/>
      <c r="BE153" s="35" t="n"/>
      <c r="BF153" s="35" t="n"/>
      <c r="BG153" s="35" t="n"/>
      <c r="BH153" s="35" t="n"/>
    </row>
    <row r="154" ht="15" customHeight="1">
      <c r="A154" s="26" t="n"/>
      <c r="B154" s="27" t="n"/>
      <c r="C154" s="27" t="n"/>
      <c r="D154" s="27" t="n"/>
      <c r="E154" s="27" t="n"/>
      <c r="F154" s="28" t="n"/>
      <c r="G154" s="27" t="n"/>
      <c r="H154" s="29" t="str">
        <f>IF(OR(F154="",G154=""),"",IF(G154=0,F154,WORKDAY(F154,G154-1)))</f>
        <v/>
      </c>
      <c r="I154" s="27" t="n"/>
      <c r="J154" s="30" t="n"/>
      <c r="K154" s="27" t="n"/>
      <c r="L154" s="28" t="n"/>
      <c r="M154" s="28" t="n"/>
      <c r="N154" s="31" t="str">
        <f>IF(OR(H154="",M154=""),"",H154-M154)</f>
        <v/>
      </c>
      <c r="O154" s="32" t="str">
        <f>IF(OR(F154="",H154=""),"",IF(StatusDate&lt;F154,0,IF(StatusDate&gt;=H154,1,NETWORKDAYS(F154,StatusDate)/MAX(1,G154))))</f>
        <v/>
      </c>
      <c r="P154" s="33" t="str">
        <f>IF(B154="","",IF(AND(K154&lt;&gt;"Complete",H154&lt;&gt;"",H154&lt;StatusDate),"Overdue",IF(K154="Blocked","Blocked",IF(AND(O154&lt;&gt;"",K154&lt;&gt;"Complete",N(J154)&lt;O154-0.2),"Behind",""))))</f>
        <v/>
      </c>
      <c r="Q154" s="32" t="str">
        <f>IF(B154="","",IF(K154="Complete",1,N(J154)))</f>
        <v/>
      </c>
      <c r="R154" s="34" t="str">
        <f>IF(AND(B154&lt;&gt;"",G154=0,H154&lt;&gt;""),IF(K154&lt;&gt;"Complete",1,-1)*(H154+ROW()/100000),"")</f>
        <v/>
      </c>
      <c r="S154" s="33">
        <f>IF(OR(B154="",G154=""),0,IF(COUNTIF($A$5:$A$154,A154&amp;".*")&gt;0,0,G154))</f>
        <v>0</v>
      </c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 t="n"/>
      <c r="AF154" s="35" t="n"/>
      <c r="AG154" s="35" t="n"/>
      <c r="AH154" s="35" t="n"/>
      <c r="AI154" s="35" t="n"/>
      <c r="AJ154" s="35" t="n"/>
      <c r="AK154" s="35" t="n"/>
      <c r="AL154" s="35" t="n"/>
      <c r="AM154" s="35" t="n"/>
      <c r="AN154" s="35" t="n"/>
      <c r="AO154" s="35" t="n"/>
      <c r="AP154" s="35" t="n"/>
      <c r="AQ154" s="35" t="n"/>
      <c r="AR154" s="35" t="n"/>
      <c r="AS154" s="35" t="n"/>
      <c r="AT154" s="35" t="n"/>
      <c r="AU154" s="35" t="n"/>
      <c r="AV154" s="35" t="n"/>
      <c r="AW154" s="35" t="n"/>
      <c r="AX154" s="35" t="n"/>
      <c r="AY154" s="35" t="n"/>
      <c r="AZ154" s="35" t="n"/>
      <c r="BA154" s="35" t="n"/>
      <c r="BB154" s="35" t="n"/>
      <c r="BC154" s="35" t="n"/>
      <c r="BD154" s="35" t="n"/>
      <c r="BE154" s="35" t="n"/>
      <c r="BF154" s="35" t="n"/>
      <c r="BG154" s="35" t="n"/>
      <c r="BH154" s="35" t="n"/>
    </row>
  </sheetData>
  <autoFilter ref="A4:S154"/>
  <conditionalFormatting sqref="K5:K154">
    <cfRule type="cellIs" priority="1" operator="equal" dxfId="0">
      <formula>"Complete"</formula>
    </cfRule>
    <cfRule type="cellIs" priority="2" operator="equal" dxfId="1">
      <formula>"Blocked"</formula>
    </cfRule>
  </conditionalFormatting>
  <conditionalFormatting sqref="P5:P154">
    <cfRule type="expression" priority="3" dxfId="1">
      <formula>P5&lt;&gt;""</formula>
    </cfRule>
  </conditionalFormatting>
  <conditionalFormatting sqref="A5:S154">
    <cfRule type="expression" priority="4" dxfId="2">
      <formula>AND($A5&lt;&gt;"",ISERROR(FIND(".",$A5)))</formula>
    </cfRule>
  </conditionalFormatting>
  <conditionalFormatting sqref="U5:BH154">
    <cfRule type="expression" priority="5" dxfId="3" stopIfTrue="1">
      <formula>AND($F5&lt;&gt;"",U$4&lt;&gt;"",$G5=0,U$4&lt;=$H5,U$4+6&gt;=$H5)</formula>
    </cfRule>
    <cfRule type="expression" priority="6" dxfId="4" stopIfTrue="1">
      <formula>AND($F5&lt;&gt;"",U$4&lt;&gt;"",$K5="Complete",U$4&lt;=$H5,U$4+6&gt;=$F5)</formula>
    </cfRule>
    <cfRule type="expression" priority="7" dxfId="5" stopIfTrue="1">
      <formula>AND($F5&lt;&gt;"",U$4&lt;&gt;"",U$4&lt;=$H5,U$4+6&gt;=$F5)</formula>
    </cfRule>
    <cfRule type="expression" priority="8" dxfId="6">
      <formula>AND(U$4&lt;&gt;"",U$4&lt;=StatusDate,U$4+6&gt;=StatusDate)</formula>
    </cfRule>
  </conditionalFormatting>
  <dataValidations count="2">
    <dataValidation sqref="C5:C154" showDropDown="0" showInputMessage="0" showErrorMessage="0" allowBlank="1" type="list">
      <formula1>=PhaseList</formula1>
    </dataValidation>
    <dataValidation sqref="K5:K154" showDropDown="0" showInputMessage="0" showErrorMessage="0" allowBlank="1" type="list">
      <formula1>=StatusList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9" t="inlineStr">
        <is>
          <t>Status</t>
        </is>
      </c>
      <c r="B4" s="19" t="inlineStr">
        <is>
          <t>Phase</t>
        </is>
      </c>
      <c r="C4" s="19" t="inlineStr">
        <is>
          <t>RAIDType</t>
        </is>
      </c>
      <c r="D4" s="19" t="inlineStr">
        <is>
          <t>Response</t>
        </is>
      </c>
      <c r="E4" s="19" t="inlineStr">
        <is>
          <t>OpenClosed</t>
        </is>
      </c>
      <c r="F4" s="19" t="inlineStr">
        <is>
          <t>RAG</t>
        </is>
      </c>
      <c r="G4" s="19" t="inlineStr">
        <is>
          <t>MoSCoW</t>
        </is>
      </c>
      <c r="H4" s="19" t="inlineStr">
        <is>
          <t>ReqType</t>
        </is>
      </c>
      <c r="I4" s="19" t="inlineStr">
        <is>
          <t>ReqStatus</t>
        </is>
      </c>
      <c r="J4" s="19" t="inlineStr">
        <is>
          <t>Eng</t>
        </is>
      </c>
      <c r="K4" s="19" t="inlineStr">
        <is>
          <t>CRDecision</t>
        </is>
      </c>
      <c r="L4" s="19" t="inlineStr">
        <is>
          <t>SSC</t>
        </is>
      </c>
      <c r="M4" s="19" t="inlineStr">
        <is>
          <t>YesNo</t>
        </is>
      </c>
      <c r="N4" s="19" t="inlineStr">
        <is>
          <t>Approach</t>
        </is>
      </c>
      <c r="O4" s="19" t="inlineStr">
        <is>
          <t>Size</t>
        </is>
      </c>
      <c r="P4" s="19" t="inlineStr">
        <is>
          <t>BudgetCat</t>
        </is>
      </c>
      <c r="Q4" s="19" t="inlineStr">
        <is>
          <t>CostType</t>
        </is>
      </c>
      <c r="R4" s="19" t="inlineStr">
        <is>
          <t>LessonStatus</t>
        </is>
      </c>
      <c r="S4" s="19" t="inlineStr">
        <is>
          <t>Score</t>
        </is>
      </c>
    </row>
    <row r="5">
      <c r="A5" s="16" t="inlineStr">
        <is>
          <t>Not started</t>
        </is>
      </c>
      <c r="B5" s="16" t="inlineStr">
        <is>
          <t>Initiating</t>
        </is>
      </c>
      <c r="C5" s="16" t="inlineStr">
        <is>
          <t>Risk</t>
        </is>
      </c>
      <c r="D5" s="16" t="inlineStr">
        <is>
          <t>Avoid</t>
        </is>
      </c>
      <c r="E5" s="16" t="inlineStr">
        <is>
          <t>Open</t>
        </is>
      </c>
      <c r="F5" s="16" t="inlineStr">
        <is>
          <t>Green</t>
        </is>
      </c>
      <c r="G5" s="16" t="inlineStr">
        <is>
          <t>Must</t>
        </is>
      </c>
      <c r="H5" s="16" t="inlineStr">
        <is>
          <t>Functional</t>
        </is>
      </c>
      <c r="I5" s="16" t="inlineStr">
        <is>
          <t>Proposed</t>
        </is>
      </c>
      <c r="J5" s="16" t="inlineStr">
        <is>
          <t>Unaware</t>
        </is>
      </c>
      <c r="K5" s="16" t="inlineStr">
        <is>
          <t>Pending</t>
        </is>
      </c>
      <c r="L5" s="16" t="inlineStr">
        <is>
          <t>Start</t>
        </is>
      </c>
      <c r="M5" s="16" t="inlineStr">
        <is>
          <t>Yes</t>
        </is>
      </c>
      <c r="N5" s="16" t="inlineStr">
        <is>
          <t>Predictive</t>
        </is>
      </c>
      <c r="O5" s="16" t="inlineStr">
        <is>
          <t>Small</t>
        </is>
      </c>
      <c r="P5" s="16" t="inlineStr">
        <is>
          <t>Labor</t>
        </is>
      </c>
      <c r="Q5" s="16" t="inlineStr">
        <is>
          <t>Labor</t>
        </is>
      </c>
      <c r="R5" s="16" t="inlineStr">
        <is>
          <t>Open</t>
        </is>
      </c>
      <c r="S5" s="16" t="n">
        <v>1</v>
      </c>
    </row>
    <row r="6">
      <c r="A6" s="16" t="inlineStr">
        <is>
          <t>In progress</t>
        </is>
      </c>
      <c r="B6" s="16" t="inlineStr">
        <is>
          <t>Planning</t>
        </is>
      </c>
      <c r="C6" s="16" t="inlineStr">
        <is>
          <t>Assumption</t>
        </is>
      </c>
      <c r="D6" s="16" t="inlineStr">
        <is>
          <t>Mitigate</t>
        </is>
      </c>
      <c r="E6" s="16" t="inlineStr">
        <is>
          <t>Closed</t>
        </is>
      </c>
      <c r="F6" s="16" t="inlineStr">
        <is>
          <t>Amber</t>
        </is>
      </c>
      <c r="G6" s="16" t="inlineStr">
        <is>
          <t>Should</t>
        </is>
      </c>
      <c r="H6" s="16" t="inlineStr">
        <is>
          <t>Non-functional</t>
        </is>
      </c>
      <c r="I6" s="16" t="inlineStr">
        <is>
          <t>Approved</t>
        </is>
      </c>
      <c r="J6" s="16" t="inlineStr">
        <is>
          <t>Resistant</t>
        </is>
      </c>
      <c r="K6" s="16" t="inlineStr">
        <is>
          <t>Approved</t>
        </is>
      </c>
      <c r="L6" s="16" t="inlineStr">
        <is>
          <t>Stop</t>
        </is>
      </c>
      <c r="M6" s="16" t="inlineStr">
        <is>
          <t>No</t>
        </is>
      </c>
      <c r="N6" s="16" t="inlineStr">
        <is>
          <t>Agile</t>
        </is>
      </c>
      <c r="O6" s="16" t="inlineStr">
        <is>
          <t>Medium</t>
        </is>
      </c>
      <c r="P6" s="16" t="inlineStr">
        <is>
          <t>Vendors &amp; contractors</t>
        </is>
      </c>
      <c r="Q6" s="16" t="inlineStr">
        <is>
          <t>Non-labor</t>
        </is>
      </c>
      <c r="R6" s="16" t="inlineStr">
        <is>
          <t>Actioned</t>
        </is>
      </c>
      <c r="S6" s="16" t="n">
        <v>2</v>
      </c>
    </row>
    <row r="7">
      <c r="A7" s="16" t="inlineStr">
        <is>
          <t>Complete</t>
        </is>
      </c>
      <c r="B7" s="16" t="inlineStr">
        <is>
          <t>Executing</t>
        </is>
      </c>
      <c r="C7" s="16" t="inlineStr">
        <is>
          <t>Issue</t>
        </is>
      </c>
      <c r="D7" s="16" t="inlineStr">
        <is>
          <t>Transfer</t>
        </is>
      </c>
      <c r="F7" s="16" t="inlineStr">
        <is>
          <t>Red</t>
        </is>
      </c>
      <c r="G7" s="16" t="inlineStr">
        <is>
          <t>Could</t>
        </is>
      </c>
      <c r="H7" s="16" t="inlineStr">
        <is>
          <t>Constraint</t>
        </is>
      </c>
      <c r="I7" s="16" t="inlineStr">
        <is>
          <t>In progress</t>
        </is>
      </c>
      <c r="J7" s="16" t="inlineStr">
        <is>
          <t>Neutral</t>
        </is>
      </c>
      <c r="K7" s="16" t="inlineStr">
        <is>
          <t>Rejected</t>
        </is>
      </c>
      <c r="L7" s="16" t="inlineStr">
        <is>
          <t>Continue</t>
        </is>
      </c>
      <c r="N7" s="16" t="inlineStr">
        <is>
          <t>Hybrid</t>
        </is>
      </c>
      <c r="O7" s="16" t="inlineStr">
        <is>
          <t>Large</t>
        </is>
      </c>
      <c r="P7" s="16" t="inlineStr">
        <is>
          <t>Software &amp; licenses</t>
        </is>
      </c>
      <c r="Q7" s="16" t="inlineStr">
        <is>
          <t>Reserve</t>
        </is>
      </c>
      <c r="R7" s="16" t="inlineStr">
        <is>
          <t>Closed</t>
        </is>
      </c>
      <c r="S7" s="16" t="n">
        <v>3</v>
      </c>
    </row>
    <row r="8">
      <c r="A8" s="16" t="inlineStr">
        <is>
          <t>Blocked</t>
        </is>
      </c>
      <c r="B8" s="16" t="inlineStr">
        <is>
          <t>Monitoring &amp; Controlling</t>
        </is>
      </c>
      <c r="C8" s="16" t="inlineStr">
        <is>
          <t>Dependency</t>
        </is>
      </c>
      <c r="D8" s="16" t="inlineStr">
        <is>
          <t>Accept</t>
        </is>
      </c>
      <c r="G8" s="16" t="inlineStr">
        <is>
          <t>Won't</t>
        </is>
      </c>
      <c r="H8" s="16" t="inlineStr">
        <is>
          <t>Transition</t>
        </is>
      </c>
      <c r="I8" s="16" t="inlineStr">
        <is>
          <t>Done</t>
        </is>
      </c>
      <c r="J8" s="16" t="inlineStr">
        <is>
          <t>Supportive</t>
        </is>
      </c>
      <c r="K8" s="16" t="inlineStr">
        <is>
          <t>Deferred</t>
        </is>
      </c>
      <c r="P8" s="16" t="inlineStr">
        <is>
          <t>Hardware</t>
        </is>
      </c>
      <c r="S8" s="16" t="n">
        <v>4</v>
      </c>
    </row>
    <row r="9">
      <c r="A9" s="16" t="inlineStr">
        <is>
          <t>On hold</t>
        </is>
      </c>
      <c r="B9" s="16" t="inlineStr">
        <is>
          <t>Closing</t>
        </is>
      </c>
      <c r="D9" s="16" t="inlineStr">
        <is>
          <t>Escalate</t>
        </is>
      </c>
      <c r="I9" s="16" t="inlineStr">
        <is>
          <t>Accepted</t>
        </is>
      </c>
      <c r="J9" s="16" t="inlineStr">
        <is>
          <t>Leading</t>
        </is>
      </c>
      <c r="P9" s="16" t="inlineStr">
        <is>
          <t>Training &amp; change</t>
        </is>
      </c>
      <c r="S9" s="16" t="n">
        <v>5</v>
      </c>
    </row>
    <row r="10">
      <c r="D10" s="16" t="inlineStr">
        <is>
          <t>Exploit</t>
        </is>
      </c>
      <c r="I10" s="16" t="inlineStr">
        <is>
          <t>Deferred</t>
        </is>
      </c>
      <c r="P10" s="16" t="inlineStr">
        <is>
          <t>Travel &amp; other</t>
        </is>
      </c>
    </row>
    <row r="11">
      <c r="D11" s="16" t="inlineStr">
        <is>
          <t>Enhance</t>
        </is>
      </c>
      <c r="I11" s="16" t="inlineStr">
        <is>
          <t>Rejected</t>
        </is>
      </c>
      <c r="P11" s="16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2026-10-28T02:03:10Z</dcterms:created>
  <dcterms:modified xmlns:dcterms="http://purl.org/dc/terms/" xmlns:xsi="http://www.w3.org/2001/XMLSchema-instance" xsi:type="dcterms:W3CDTF">2026-10-28T02:03:10Z</dcterms:modified>
</cp:coreProperties>
</file>