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RAID" sheetId="3" state="visible" r:id="rId3"/>
    <sheet xmlns:r="http://schemas.openxmlformats.org/officeDocument/2006/relationships" name="Lists" sheetId="4" state="visible" r:id="rId4"/>
  </sheets>
  <definedNames>
    <definedName name="ProjectName">Setup!$B$4</definedName>
    <definedName name="OrgName">Setup!$B$5</definedName>
    <definedName name="Sponsor">Setup!$B$6</definedName>
    <definedName name="PMName">Setup!$B$7</definedName>
    <definedName name="ProductOwner">Setup!$B$8</definedName>
    <definedName name="ProjectStart">Setup!$B$9</definedName>
    <definedName name="ProjectFinish">Setup!$B$10</definedName>
    <definedName name="ApprovedBudget">Setup!$B$11</definedName>
    <definedName name="StatusDate">Setup!$B$12</definedName>
    <definedName name="Approach">Setup!$B$13</definedName>
    <definedName name="ProjectSize">Setup!$B$14</definedName>
    <definedName name="RAGOverride">Setup!$B$15</definedName>
    <definedName name="ProjectSummary">Setup!$B$16</definedName>
    <definedName name="SchedAmber">Setup!$B$19</definedName>
    <definedName name="SchedRed">Setup!$B$20</definedName>
    <definedName name="BudAmber">Setup!$B$21</definedName>
    <definedName name="BudRed">Setup!$B$22</definedName>
    <definedName name="RiskAmber">Setup!$B$23</definedName>
    <definedName name="RiskRed">Setup!$B$24</definedName>
    <definedName name="RedScore">Setup!$B$25</definedName>
    <definedName name="AmberScore">Setup!$B$26</definedName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2" hidden="1">'RAID'!$A$4:$Q$104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$#,##0"/>
    <numFmt numFmtId="166" formatCode="mm/dd/yy"/>
    <numFmt numFmtId="167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sz val="10"/>
    </font>
    <font>
      <name val="Arial"/>
      <sz val="9"/>
    </font>
    <font>
      <name val="Arial"/>
      <color rgb="000000FF"/>
      <sz val="10"/>
    </font>
    <font>
      <name val="Arial"/>
      <b val="1"/>
      <color rgb="00FFFFFF"/>
      <sz val="9"/>
    </font>
    <font>
      <name val="Arial"/>
      <i val="1"/>
      <color rgb="006B7280"/>
      <sz val="8"/>
    </font>
  </fonts>
  <fills count="6">
    <fill>
      <patternFill/>
    </fill>
    <fill>
      <patternFill patternType="gray125"/>
    </fill>
    <fill>
      <patternFill patternType="solid">
        <fgColor rgb="00FFF4C2"/>
        <bgColor rgb="00FFF4C2"/>
      </patternFill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0" fillId="0" borderId="0" pivotButton="0" quotePrefix="0" xfId="0"/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0" fontId="11" fillId="0" borderId="0" pivotButton="0" quotePrefix="0" xfId="0"/>
    <xf numFmtId="9" fontId="12" fillId="2" borderId="1" pivotButton="0" quotePrefix="0" xfId="0"/>
    <xf numFmtId="1" fontId="12" fillId="2" borderId="1" pivotButton="0" quotePrefix="0" xfId="0"/>
    <xf numFmtId="0" fontId="13" fillId="3" borderId="0" pivotButton="0" quotePrefix="0" xfId="0"/>
    <xf numFmtId="0" fontId="0" fillId="0" borderId="1" pivotButton="0" quotePrefix="0" xfId="0"/>
    <xf numFmtId="0" fontId="14" fillId="0" borderId="0" applyAlignment="1" pivotButton="0" quotePrefix="0" xfId="0">
      <alignment/>
    </xf>
    <xf numFmtId="0" fontId="13" fillId="4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1" fontId="11" fillId="5" borderId="1" applyAlignment="1" pivotButton="0" quotePrefix="0" xfId="0">
      <alignment vertical="top" wrapText="1"/>
    </xf>
    <xf numFmtId="166" fontId="11" fillId="0" borderId="1" applyAlignment="1" pivotButton="0" quotePrefix="0" xfId="0">
      <alignment vertical="top" wrapText="1"/>
    </xf>
    <xf numFmtId="167" fontId="11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FFFFFF"/>
      </font>
      <fill>
        <patternFill patternType="solid">
          <fgColor rgb="00D03B3B"/>
          <bgColor rgb="00D03B3B"/>
        </patternFill>
      </fill>
    </dxf>
    <dxf>
      <font>
        <name val="Arial"/>
        <b val="1"/>
        <color rgb="001E2328"/>
      </font>
      <fill>
        <patternFill patternType="solid">
          <fgColor rgb="00FAB219"/>
          <bgColor rgb="00FAB219"/>
        </patternFill>
      </fill>
    </dxf>
    <dxf>
      <font>
        <name val="Arial"/>
        <b val="1"/>
        <color rgb="00FFFFFF"/>
      </font>
      <fill>
        <patternFill patternType="solid">
          <fgColor rgb="000CA30C"/>
          <bgColor rgb="000CA30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T11 – RAID Log (Risks, Assumptions, Issues, Dependencies)</t>
        </is>
      </c>
    </row>
    <row r="3">
      <c r="B3" s="3" t="inlineStr">
        <is>
          <t>One register for everything that could, or already does, get in the way of delivery.</t>
        </is>
      </c>
    </row>
    <row r="5">
      <c r="B5" s="4" t="inlineStr">
        <is>
          <t>How to use this template</t>
        </is>
      </c>
    </row>
    <row r="6">
      <c r="B6" s="5" t="inlineStr">
        <is>
          <t>1. A risk is something that might happen. An issue is something that has happened. Move risks to issues when they occur.</t>
        </is>
      </c>
    </row>
    <row r="7">
      <c r="B7" s="5" t="inlineStr">
        <is>
          <t>2. Score Probability and Impact 1–5. The score (P×I) and RAG rating are calculated for you.</t>
        </is>
      </c>
    </row>
    <row r="8">
      <c r="B8" s="5" t="inlineStr">
        <is>
          <t>3. Every Red or Amber item needs an owner, a response (avoid, mitigate, transfer, accept) and a due date.</t>
        </is>
      </c>
    </row>
    <row r="9">
      <c r="B9" s="5" t="inlineStr">
        <is>
          <t>4. Review the top 10 items in every status meeting and close out stale entries.</t>
        </is>
      </c>
    </row>
    <row r="11">
      <c r="B11" s="6" t="inlineStr">
        <is>
          <t>Used in: Step 2.6 – Plan risk management: identify, analyze and plan responses; Step 3.3 – Assure quality; Step 3.5 – Implement risk responses and resolve issues; Step 4.3 – Monitor risks, issues and stakeholder engagement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RAID).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0" t="inlineStr">
        <is>
          <t>Project setup</t>
        </is>
      </c>
      <c r="B1" s="11" t="inlineStr">
        <is>
          <t>Latest version (click)</t>
        </is>
      </c>
    </row>
    <row r="2">
      <c r="A2" s="6" t="inlineStr">
        <is>
          <t>Fill in the yellow cells. Everything else in the workbook reads from here. Takes about 5 minutes.</t>
        </is>
      </c>
    </row>
    <row r="4">
      <c r="A4" s="12" t="inlineStr">
        <is>
          <t>Project name</t>
        </is>
      </c>
      <c r="B4" s="13" t="n"/>
    </row>
    <row r="5">
      <c r="A5" s="12" t="inlineStr">
        <is>
          <t>Organization</t>
        </is>
      </c>
      <c r="B5" s="13" t="n"/>
    </row>
    <row r="6">
      <c r="A6" s="12" t="inlineStr">
        <is>
          <t>Sponsor</t>
        </is>
      </c>
      <c r="B6" s="13" t="n"/>
    </row>
    <row r="7">
      <c r="A7" s="12" t="inlineStr">
        <is>
          <t>Project manager</t>
        </is>
      </c>
      <c r="B7" s="13" t="n"/>
    </row>
    <row r="8">
      <c r="A8" s="12" t="inlineStr">
        <is>
          <t>Product owner / business owner</t>
        </is>
      </c>
      <c r="B8" s="13" t="n"/>
    </row>
    <row r="9">
      <c r="A9" s="12" t="inlineStr">
        <is>
          <t>Project start date</t>
        </is>
      </c>
      <c r="B9" s="14" t="n"/>
    </row>
    <row r="10">
      <c r="A10" s="12" t="inlineStr">
        <is>
          <t>Target finish date</t>
        </is>
      </c>
      <c r="B10" s="14" t="n"/>
    </row>
    <row r="11">
      <c r="A11" s="12" t="inlineStr">
        <is>
          <t>Approved budget ($)</t>
        </is>
      </c>
      <c r="B11" s="15" t="n"/>
    </row>
    <row r="12">
      <c r="A12" s="12" t="inlineStr">
        <is>
          <t>Status date (leave =TODAY() or fix a date)</t>
        </is>
      </c>
      <c r="B12" s="14">
        <f>TODAY()</f>
        <v>46322.0</v>
      </c>
    </row>
    <row r="13">
      <c r="A13" s="12" t="inlineStr">
        <is>
          <t>Delivery approach</t>
        </is>
      </c>
      <c r="B13" s="13" t="n"/>
    </row>
    <row r="14">
      <c r="A14" s="12" t="inlineStr">
        <is>
          <t>Project size (tailoring)</t>
        </is>
      </c>
      <c r="B14" s="13" t="n"/>
    </row>
    <row r="15">
      <c r="A15" s="12" t="inlineStr">
        <is>
          <t>Overall status override (optional)</t>
        </is>
      </c>
      <c r="B15" s="13" t="n"/>
    </row>
    <row r="16" ht="60" customHeight="1">
      <c r="A16" s="12" t="inlineStr">
        <is>
          <t>Project summary</t>
        </is>
      </c>
      <c r="B16" s="13" t="n"/>
    </row>
    <row r="18">
      <c r="A18" s="4" t="inlineStr">
        <is>
          <t>Health thresholds (used by the Dashboard)</t>
        </is>
      </c>
    </row>
    <row r="19">
      <c r="A19" s="16" t="inlineStr">
        <is>
          <t>Schedule: Amber if behind plan by more than (pts)</t>
        </is>
      </c>
      <c r="B19" s="17" t="n">
        <v>0.05</v>
      </c>
    </row>
    <row r="20">
      <c r="A20" s="16" t="inlineStr">
        <is>
          <t>Schedule: Red if behind plan by more than (pts)</t>
        </is>
      </c>
      <c r="B20" s="17" t="n">
        <v>0.15</v>
      </c>
    </row>
    <row r="21">
      <c r="A21" s="16" t="inlineStr">
        <is>
          <t>Budget: Amber if forecast exceeds approved by more than</t>
        </is>
      </c>
      <c r="B21" s="17" t="n">
        <v>0</v>
      </c>
    </row>
    <row r="22">
      <c r="A22" s="16" t="inlineStr">
        <is>
          <t>Budget: Red if forecast exceeds approved by more than</t>
        </is>
      </c>
      <c r="B22" s="17" t="n">
        <v>0.1</v>
      </c>
    </row>
    <row r="23">
      <c r="A23" s="16" t="inlineStr">
        <is>
          <t>Risk: Amber at this many open Red risks/issues</t>
        </is>
      </c>
      <c r="B23" s="18" t="n">
        <v>1</v>
      </c>
    </row>
    <row r="24">
      <c r="A24" s="16" t="inlineStr">
        <is>
          <t>Risk: Red at this many open Red risks/issues</t>
        </is>
      </c>
      <c r="B24" s="18" t="n">
        <v>3</v>
      </c>
    </row>
    <row r="25">
      <c r="A25" s="16" t="inlineStr">
        <is>
          <t>RAID score at or above which an item is Red</t>
        </is>
      </c>
      <c r="B25" s="18" t="n">
        <v>12</v>
      </c>
    </row>
    <row r="26">
      <c r="A26" s="16" t="inlineStr">
        <is>
          <t>RAID score at or above which an item is Amber</t>
        </is>
      </c>
      <c r="B26" s="18" t="n">
        <v>6</v>
      </c>
    </row>
    <row r="28">
      <c r="A28" s="4" t="inlineStr">
        <is>
          <t>Goals &amp; success criteria (Step 1.2)</t>
        </is>
      </c>
    </row>
    <row r="29">
      <c r="A29" s="19" t="inlineStr">
        <is>
          <t>Goal / measure</t>
        </is>
      </c>
      <c r="B29" s="19" t="inlineStr">
        <is>
          <t>Baseline</t>
        </is>
      </c>
      <c r="C29" s="19" t="inlineStr">
        <is>
          <t>Target</t>
        </is>
      </c>
      <c r="D29" s="19" t="inlineStr">
        <is>
          <t>Data source</t>
        </is>
      </c>
      <c r="E29" s="19" t="inlineStr">
        <is>
          <t>Owner</t>
        </is>
      </c>
      <c r="F29" s="19" t="inlineStr">
        <is>
          <t>Current</t>
        </is>
      </c>
    </row>
    <row r="30">
      <c r="A30" s="20" t="n"/>
      <c r="B30" s="20" t="n"/>
      <c r="C30" s="20" t="n"/>
      <c r="D30" s="20" t="n"/>
      <c r="E30" s="20" t="n"/>
      <c r="F30" s="20" t="n"/>
    </row>
    <row r="31">
      <c r="A31" s="20" t="n"/>
      <c r="B31" s="20" t="n"/>
      <c r="C31" s="20" t="n"/>
      <c r="D31" s="20" t="n"/>
      <c r="E31" s="20" t="n"/>
      <c r="F31" s="20" t="n"/>
    </row>
    <row r="32">
      <c r="A32" s="20" t="n"/>
      <c r="B32" s="20" t="n"/>
      <c r="C32" s="20" t="n"/>
      <c r="D32" s="20" t="n"/>
      <c r="E32" s="20" t="n"/>
      <c r="F32" s="20" t="n"/>
    </row>
    <row r="33">
      <c r="A33" s="20" t="n"/>
      <c r="B33" s="20" t="n"/>
      <c r="C33" s="20" t="n"/>
      <c r="D33" s="20" t="n"/>
      <c r="E33" s="20" t="n"/>
      <c r="F33" s="20" t="n"/>
    </row>
    <row r="34">
      <c r="A34" s="20" t="n"/>
      <c r="B34" s="20" t="n"/>
      <c r="C34" s="20" t="n"/>
      <c r="D34" s="20" t="n"/>
      <c r="E34" s="20" t="n"/>
      <c r="F34" s="20" t="n"/>
    </row>
    <row r="35">
      <c r="A35" s="20" t="n"/>
      <c r="B35" s="20" t="n"/>
      <c r="C35" s="20" t="n"/>
      <c r="D35" s="20" t="n"/>
      <c r="E35" s="20" t="n"/>
      <c r="F35" s="20" t="n"/>
    </row>
    <row r="37">
      <c r="A37" s="4" t="inlineStr">
        <is>
          <t>Core team (Step 3.1)</t>
        </is>
      </c>
    </row>
    <row r="38">
      <c r="A38" s="19" t="inlineStr">
        <is>
          <t>Name</t>
        </is>
      </c>
      <c r="B38" s="19" t="inlineStr">
        <is>
          <t>Project role</t>
        </is>
      </c>
      <c r="C38" s="19" t="inlineStr">
        <is>
          <t>Department / company</t>
        </is>
      </c>
      <c r="D38" s="19" t="inlineStr">
        <is>
          <t>Allocation</t>
        </is>
      </c>
      <c r="E38" s="19" t="inlineStr">
        <is>
          <t>Email / contact</t>
        </is>
      </c>
    </row>
    <row r="39">
      <c r="A39" s="20" t="n"/>
      <c r="B39" s="20" t="n"/>
      <c r="C39" s="20" t="n"/>
      <c r="D39" s="20" t="n"/>
      <c r="E39" s="20" t="n"/>
    </row>
    <row r="40">
      <c r="A40" s="20" t="n"/>
      <c r="B40" s="20" t="n"/>
      <c r="C40" s="20" t="n"/>
      <c r="D40" s="20" t="n"/>
      <c r="E40" s="20" t="n"/>
    </row>
    <row r="41">
      <c r="A41" s="20" t="n"/>
      <c r="B41" s="20" t="n"/>
      <c r="C41" s="20" t="n"/>
      <c r="D41" s="20" t="n"/>
      <c r="E41" s="20" t="n"/>
    </row>
    <row r="42">
      <c r="A42" s="20" t="n"/>
      <c r="B42" s="20" t="n"/>
      <c r="C42" s="20" t="n"/>
      <c r="D42" s="20" t="n"/>
      <c r="E42" s="20" t="n"/>
    </row>
    <row r="43">
      <c r="A43" s="20" t="n"/>
      <c r="B43" s="20" t="n"/>
      <c r="C43" s="20" t="n"/>
      <c r="D43" s="20" t="n"/>
      <c r="E43" s="20" t="n"/>
    </row>
    <row r="44">
      <c r="A44" s="20" t="n"/>
      <c r="B44" s="20" t="n"/>
      <c r="C44" s="20" t="n"/>
      <c r="D44" s="20" t="n"/>
      <c r="E44" s="20" t="n"/>
    </row>
    <row r="45">
      <c r="A45" s="20" t="n"/>
      <c r="B45" s="20" t="n"/>
      <c r="C45" s="20" t="n"/>
      <c r="D45" s="20" t="n"/>
      <c r="E45" s="20" t="n"/>
    </row>
    <row r="46">
      <c r="A46" s="20" t="n"/>
      <c r="B46" s="20" t="n"/>
      <c r="C46" s="20" t="n"/>
      <c r="D46" s="20" t="n"/>
      <c r="E46" s="20" t="n"/>
    </row>
    <row r="47">
      <c r="A47" s="20" t="n"/>
      <c r="B47" s="20" t="n"/>
      <c r="C47" s="20" t="n"/>
      <c r="D47" s="20" t="n"/>
      <c r="E47" s="20" t="n"/>
    </row>
    <row r="48">
      <c r="A48" s="20" t="n"/>
      <c r="B48" s="20" t="n"/>
      <c r="C48" s="20" t="n"/>
      <c r="D48" s="20" t="n"/>
      <c r="E48" s="20" t="n"/>
    </row>
    <row r="49">
      <c r="A49" s="20" t="n"/>
      <c r="B49" s="20" t="n"/>
      <c r="C49" s="20" t="n"/>
      <c r="D49" s="20" t="n"/>
      <c r="E49" s="20" t="n"/>
    </row>
    <row r="50">
      <c r="A50" s="20" t="n"/>
      <c r="B50" s="20" t="n"/>
      <c r="C50" s="20" t="n"/>
      <c r="D50" s="20" t="n"/>
      <c r="E50" s="20" t="n"/>
    </row>
  </sheetData>
  <dataValidations count="3">
    <dataValidation sqref="B13" showDropDown="0" showInputMessage="0" showErrorMessage="0" allowBlank="1" type="list">
      <formula1>=ApproachList</formula1>
    </dataValidation>
    <dataValidation sqref="B14" showDropDown="0" showInputMessage="0" showErrorMessage="0" allowBlank="1" type="list">
      <formula1>=SizeList</formula1>
    </dataValidation>
    <dataValidation sqref="B15" showDropDown="0" showInputMessage="0" showErrorMessage="0" allowBlank="1" type="list">
      <formula1>=RAGList</formula1>
    </dataValidation>
  </dataValidations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8" customWidth="1" min="3" max="3"/>
    <col width="40" customWidth="1" min="4" max="4"/>
    <col width="13" customWidth="1" min="5" max="5"/>
    <col width="9" customWidth="1" min="6" max="6"/>
    <col width="9" customWidth="1" min="7" max="7"/>
    <col width="7" customWidth="1" min="8" max="8"/>
    <col width="8" customWidth="1" min="9" max="9"/>
    <col width="11" customWidth="1" min="10" max="10"/>
    <col width="34" customWidth="1" min="11" max="11"/>
    <col width="13" customWidth="1" min="12" max="12"/>
    <col width="10" customWidth="1" min="13" max="13"/>
    <col width="9" customWidth="1" min="14" max="14"/>
    <col width="10" customWidth="1" min="15" max="15"/>
    <col width="10" customWidth="1" min="16" max="16"/>
    <col width="7" customWidth="1" min="17" max="17"/>
  </cols>
  <sheetData>
    <row r="1" ht="26" customHeight="1">
      <c r="A1" s="10" t="inlineStr">
        <is>
          <t>RAID log</t>
        </is>
      </c>
      <c r="C1" s="11" t="inlineStr">
        <is>
          <t>Latest version (click)</t>
        </is>
      </c>
    </row>
    <row r="2">
      <c r="A2" s="6" t="inlineStr">
        <is>
          <t>Template T11. Score Probability and Impact 1–5; score, RAG and ID calculate automatically. Review Red/Amber items every week.</t>
        </is>
      </c>
    </row>
    <row r="3">
      <c r="B3" s="21" t="inlineStr">
        <is>
          <t>e.g. Risk</t>
        </is>
      </c>
      <c r="C3" s="21" t="inlineStr">
        <is>
          <t>CRM API limits</t>
        </is>
      </c>
      <c r="D3" s="21" t="inlineStr">
        <is>
          <t>Because of API rate limits, sync may fail, delaying Sprint 4</t>
        </is>
      </c>
      <c r="E3" s="21" t="inlineStr">
        <is>
          <t>Technology</t>
        </is>
      </c>
      <c r="F3" s="21" t="n">
        <v>4</v>
      </c>
      <c r="G3" s="21" t="n">
        <v>4</v>
      </c>
      <c r="J3" s="21" t="inlineStr">
        <is>
          <t>Mitigate</t>
        </is>
      </c>
      <c r="K3" s="21" t="inlineStr">
        <is>
          <t>Spike to test limits</t>
        </is>
      </c>
      <c r="L3" s="21" t="inlineStr">
        <is>
          <t>T. Becker</t>
        </is>
      </c>
      <c r="M3" s="21" t="inlineStr">
        <is>
          <t>11/20/2026</t>
        </is>
      </c>
      <c r="N3" s="21" t="inlineStr">
        <is>
          <t>Open</t>
        </is>
      </c>
    </row>
    <row r="4" ht="32" customHeight="1">
      <c r="A4" s="22" t="inlineStr">
        <is>
          <t>ID (auto)</t>
        </is>
      </c>
      <c r="B4" s="23" t="inlineStr">
        <is>
          <t>Type</t>
        </is>
      </c>
      <c r="C4" s="23" t="inlineStr">
        <is>
          <t>Title</t>
        </is>
      </c>
      <c r="D4" s="23" t="inlineStr">
        <is>
          <t>Description (cause → event → impact)</t>
        </is>
      </c>
      <c r="E4" s="23" t="inlineStr">
        <is>
          <t>Category</t>
        </is>
      </c>
      <c r="F4" s="23" t="inlineStr">
        <is>
          <t>Probability (1–5)</t>
        </is>
      </c>
      <c r="G4" s="23" t="inlineStr">
        <is>
          <t>Impact (1–5)</t>
        </is>
      </c>
      <c r="H4" s="22" t="inlineStr">
        <is>
          <t>Score (auto)</t>
        </is>
      </c>
      <c r="I4" s="22" t="inlineStr">
        <is>
          <t>RAG (auto)</t>
        </is>
      </c>
      <c r="J4" s="23" t="inlineStr">
        <is>
          <t>Response</t>
        </is>
      </c>
      <c r="K4" s="23" t="inlineStr">
        <is>
          <t>Action / mitigation</t>
        </is>
      </c>
      <c r="L4" s="23" t="inlineStr">
        <is>
          <t>Owner</t>
        </is>
      </c>
      <c r="M4" s="23" t="inlineStr">
        <is>
          <t>Due</t>
        </is>
      </c>
      <c r="N4" s="23" t="inlineStr">
        <is>
          <t>Status</t>
        </is>
      </c>
      <c r="O4" s="23" t="inlineStr">
        <is>
          <t>Date raised</t>
        </is>
      </c>
      <c r="P4" s="23" t="inlineStr">
        <is>
          <t>Last reviewed</t>
        </is>
      </c>
      <c r="Q4" s="22" t="inlineStr">
        <is>
          <t>Rank key (auto)</t>
        </is>
      </c>
    </row>
    <row r="5">
      <c r="A5" s="24" t="str">
        <f>IF(B5="","",LEFT(B5,1)&amp;"-"&amp;TEXT(COUNTIF($B$5:B5,B5),"000"))</f>
        <v/>
      </c>
      <c r="B5" s="25" t="n"/>
      <c r="C5" s="25" t="n"/>
      <c r="D5" s="25" t="n"/>
      <c r="E5" s="25" t="n"/>
      <c r="F5" s="25" t="n"/>
      <c r="G5" s="25" t="n"/>
      <c r="H5" s="26" t="str">
        <f>IF(OR(F5="",G5=""),"",F5*G5)</f>
        <v/>
      </c>
      <c r="I5" s="24" t="str">
        <f>IF(H5="","",IF(H5&gt;=RedScore,"Red",IF(H5&gt;=AmberScore,"Amber","Green")))</f>
        <v/>
      </c>
      <c r="J5" s="25" t="n"/>
      <c r="K5" s="25" t="n"/>
      <c r="L5" s="25" t="n"/>
      <c r="M5" s="27" t="n"/>
      <c r="N5" s="25" t="n"/>
      <c r="O5" s="27" t="n"/>
      <c r="P5" s="27" t="n"/>
      <c r="Q5" s="28" t="str">
        <f>IF(AND(N5="Open",H5&lt;&gt;""),H5+(1000-ROW())/10000,"")</f>
        <v/>
      </c>
    </row>
    <row r="6">
      <c r="A6" s="24" t="str">
        <f>IF(B6="","",LEFT(B6,1)&amp;"-"&amp;TEXT(COUNTIF($B$5:B6,B6),"000"))</f>
        <v/>
      </c>
      <c r="B6" s="25" t="n"/>
      <c r="C6" s="25" t="n"/>
      <c r="D6" s="25" t="n"/>
      <c r="E6" s="25" t="n"/>
      <c r="F6" s="25" t="n"/>
      <c r="G6" s="25" t="n"/>
      <c r="H6" s="26" t="str">
        <f>IF(OR(F6="",G6=""),"",F6*G6)</f>
        <v/>
      </c>
      <c r="I6" s="24" t="str">
        <f>IF(H6="","",IF(H6&gt;=RedScore,"Red",IF(H6&gt;=AmberScore,"Amber","Green")))</f>
        <v/>
      </c>
      <c r="J6" s="25" t="n"/>
      <c r="K6" s="25" t="n"/>
      <c r="L6" s="25" t="n"/>
      <c r="M6" s="27" t="n"/>
      <c r="N6" s="25" t="n"/>
      <c r="O6" s="27" t="n"/>
      <c r="P6" s="27" t="n"/>
      <c r="Q6" s="28" t="str">
        <f>IF(AND(N6="Open",H6&lt;&gt;""),H6+(1000-ROW())/10000,"")</f>
        <v/>
      </c>
    </row>
    <row r="7">
      <c r="A7" s="24" t="str">
        <f>IF(B7="","",LEFT(B7,1)&amp;"-"&amp;TEXT(COUNTIF($B$5:B7,B7),"000"))</f>
        <v/>
      </c>
      <c r="B7" s="25" t="n"/>
      <c r="C7" s="25" t="n"/>
      <c r="D7" s="25" t="n"/>
      <c r="E7" s="25" t="n"/>
      <c r="F7" s="25" t="n"/>
      <c r="G7" s="25" t="n"/>
      <c r="H7" s="26" t="str">
        <f>IF(OR(F7="",G7=""),"",F7*G7)</f>
        <v/>
      </c>
      <c r="I7" s="24" t="str">
        <f>IF(H7="","",IF(H7&gt;=RedScore,"Red",IF(H7&gt;=AmberScore,"Amber","Green")))</f>
        <v/>
      </c>
      <c r="J7" s="25" t="n"/>
      <c r="K7" s="25" t="n"/>
      <c r="L7" s="25" t="n"/>
      <c r="M7" s="27" t="n"/>
      <c r="N7" s="25" t="n"/>
      <c r="O7" s="27" t="n"/>
      <c r="P7" s="27" t="n"/>
      <c r="Q7" s="28" t="str">
        <f>IF(AND(N7="Open",H7&lt;&gt;""),H7+(1000-ROW())/10000,"")</f>
        <v/>
      </c>
    </row>
    <row r="8">
      <c r="A8" s="24" t="str">
        <f>IF(B8="","",LEFT(B8,1)&amp;"-"&amp;TEXT(COUNTIF($B$5:B8,B8),"000"))</f>
        <v/>
      </c>
      <c r="B8" s="25" t="n"/>
      <c r="C8" s="25" t="n"/>
      <c r="D8" s="25" t="n"/>
      <c r="E8" s="25" t="n"/>
      <c r="F8" s="25" t="n"/>
      <c r="G8" s="25" t="n"/>
      <c r="H8" s="26" t="str">
        <f>IF(OR(F8="",G8=""),"",F8*G8)</f>
        <v/>
      </c>
      <c r="I8" s="24" t="str">
        <f>IF(H8="","",IF(H8&gt;=RedScore,"Red",IF(H8&gt;=AmberScore,"Amber","Green")))</f>
        <v/>
      </c>
      <c r="J8" s="25" t="n"/>
      <c r="K8" s="25" t="n"/>
      <c r="L8" s="25" t="n"/>
      <c r="M8" s="27" t="n"/>
      <c r="N8" s="25" t="n"/>
      <c r="O8" s="27" t="n"/>
      <c r="P8" s="27" t="n"/>
      <c r="Q8" s="28" t="str">
        <f>IF(AND(N8="Open",H8&lt;&gt;""),H8+(1000-ROW())/10000,"")</f>
        <v/>
      </c>
    </row>
    <row r="9">
      <c r="A9" s="24" t="str">
        <f>IF(B9="","",LEFT(B9,1)&amp;"-"&amp;TEXT(COUNTIF($B$5:B9,B9),"000"))</f>
        <v/>
      </c>
      <c r="B9" s="25" t="n"/>
      <c r="C9" s="25" t="n"/>
      <c r="D9" s="25" t="n"/>
      <c r="E9" s="25" t="n"/>
      <c r="F9" s="25" t="n"/>
      <c r="G9" s="25" t="n"/>
      <c r="H9" s="26" t="str">
        <f>IF(OR(F9="",G9=""),"",F9*G9)</f>
        <v/>
      </c>
      <c r="I9" s="24" t="str">
        <f>IF(H9="","",IF(H9&gt;=RedScore,"Red",IF(H9&gt;=AmberScore,"Amber","Green")))</f>
        <v/>
      </c>
      <c r="J9" s="25" t="n"/>
      <c r="K9" s="25" t="n"/>
      <c r="L9" s="25" t="n"/>
      <c r="M9" s="27" t="n"/>
      <c r="N9" s="25" t="n"/>
      <c r="O9" s="27" t="n"/>
      <c r="P9" s="27" t="n"/>
      <c r="Q9" s="28" t="str">
        <f>IF(AND(N9="Open",H9&lt;&gt;""),H9+(1000-ROW())/10000,"")</f>
        <v/>
      </c>
    </row>
    <row r="10">
      <c r="A10" s="24" t="str">
        <f>IF(B10="","",LEFT(B10,1)&amp;"-"&amp;TEXT(COUNTIF($B$5:B10,B10),"000"))</f>
        <v/>
      </c>
      <c r="B10" s="25" t="n"/>
      <c r="C10" s="25" t="n"/>
      <c r="D10" s="25" t="n"/>
      <c r="E10" s="25" t="n"/>
      <c r="F10" s="25" t="n"/>
      <c r="G10" s="25" t="n"/>
      <c r="H10" s="26" t="str">
        <f>IF(OR(F10="",G10=""),"",F10*G10)</f>
        <v/>
      </c>
      <c r="I10" s="24" t="str">
        <f>IF(H10="","",IF(H10&gt;=RedScore,"Red",IF(H10&gt;=AmberScore,"Amber","Green")))</f>
        <v/>
      </c>
      <c r="J10" s="25" t="n"/>
      <c r="K10" s="25" t="n"/>
      <c r="L10" s="25" t="n"/>
      <c r="M10" s="27" t="n"/>
      <c r="N10" s="25" t="n"/>
      <c r="O10" s="27" t="n"/>
      <c r="P10" s="27" t="n"/>
      <c r="Q10" s="28" t="str">
        <f>IF(AND(N10="Open",H10&lt;&gt;""),H10+(1000-ROW())/10000,"")</f>
        <v/>
      </c>
    </row>
    <row r="11">
      <c r="A11" s="24" t="str">
        <f>IF(B11="","",LEFT(B11,1)&amp;"-"&amp;TEXT(COUNTIF($B$5:B11,B11),"000"))</f>
        <v/>
      </c>
      <c r="B11" s="25" t="n"/>
      <c r="C11" s="25" t="n"/>
      <c r="D11" s="25" t="n"/>
      <c r="E11" s="25" t="n"/>
      <c r="F11" s="25" t="n"/>
      <c r="G11" s="25" t="n"/>
      <c r="H11" s="26" t="str">
        <f>IF(OR(F11="",G11=""),"",F11*G11)</f>
        <v/>
      </c>
      <c r="I11" s="24" t="str">
        <f>IF(H11="","",IF(H11&gt;=RedScore,"Red",IF(H11&gt;=AmberScore,"Amber","Green")))</f>
        <v/>
      </c>
      <c r="J11" s="25" t="n"/>
      <c r="K11" s="25" t="n"/>
      <c r="L11" s="25" t="n"/>
      <c r="M11" s="27" t="n"/>
      <c r="N11" s="25" t="n"/>
      <c r="O11" s="27" t="n"/>
      <c r="P11" s="27" t="n"/>
      <c r="Q11" s="28" t="str">
        <f>IF(AND(N11="Open",H11&lt;&gt;""),H11+(1000-ROW())/10000,"")</f>
        <v/>
      </c>
    </row>
    <row r="12">
      <c r="A12" s="24" t="str">
        <f>IF(B12="","",LEFT(B12,1)&amp;"-"&amp;TEXT(COUNTIF($B$5:B12,B12),"000"))</f>
        <v/>
      </c>
      <c r="B12" s="25" t="n"/>
      <c r="C12" s="25" t="n"/>
      <c r="D12" s="25" t="n"/>
      <c r="E12" s="25" t="n"/>
      <c r="F12" s="25" t="n"/>
      <c r="G12" s="25" t="n"/>
      <c r="H12" s="26" t="str">
        <f>IF(OR(F12="",G12=""),"",F12*G12)</f>
        <v/>
      </c>
      <c r="I12" s="24" t="str">
        <f>IF(H12="","",IF(H12&gt;=RedScore,"Red",IF(H12&gt;=AmberScore,"Amber","Green")))</f>
        <v/>
      </c>
      <c r="J12" s="25" t="n"/>
      <c r="K12" s="25" t="n"/>
      <c r="L12" s="25" t="n"/>
      <c r="M12" s="27" t="n"/>
      <c r="N12" s="25" t="n"/>
      <c r="O12" s="27" t="n"/>
      <c r="P12" s="27" t="n"/>
      <c r="Q12" s="28" t="str">
        <f>IF(AND(N12="Open",H12&lt;&gt;""),H12+(1000-ROW())/10000,"")</f>
        <v/>
      </c>
    </row>
    <row r="13">
      <c r="A13" s="24" t="str">
        <f>IF(B13="","",LEFT(B13,1)&amp;"-"&amp;TEXT(COUNTIF($B$5:B13,B13),"000"))</f>
        <v/>
      </c>
      <c r="B13" s="25" t="n"/>
      <c r="C13" s="25" t="n"/>
      <c r="D13" s="25" t="n"/>
      <c r="E13" s="25" t="n"/>
      <c r="F13" s="25" t="n"/>
      <c r="G13" s="25" t="n"/>
      <c r="H13" s="26" t="str">
        <f>IF(OR(F13="",G13=""),"",F13*G13)</f>
        <v/>
      </c>
      <c r="I13" s="24" t="str">
        <f>IF(H13="","",IF(H13&gt;=RedScore,"Red",IF(H13&gt;=AmberScore,"Amber","Green")))</f>
        <v/>
      </c>
      <c r="J13" s="25" t="n"/>
      <c r="K13" s="25" t="n"/>
      <c r="L13" s="25" t="n"/>
      <c r="M13" s="27" t="n"/>
      <c r="N13" s="25" t="n"/>
      <c r="O13" s="27" t="n"/>
      <c r="P13" s="27" t="n"/>
      <c r="Q13" s="28" t="str">
        <f>IF(AND(N13="Open",H13&lt;&gt;""),H13+(1000-ROW())/10000,"")</f>
        <v/>
      </c>
    </row>
    <row r="14">
      <c r="A14" s="24" t="str">
        <f>IF(B14="","",LEFT(B14,1)&amp;"-"&amp;TEXT(COUNTIF($B$5:B14,B14),"000"))</f>
        <v/>
      </c>
      <c r="B14" s="25" t="n"/>
      <c r="C14" s="25" t="n"/>
      <c r="D14" s="25" t="n"/>
      <c r="E14" s="25" t="n"/>
      <c r="F14" s="25" t="n"/>
      <c r="G14" s="25" t="n"/>
      <c r="H14" s="26" t="str">
        <f>IF(OR(F14="",G14=""),"",F14*G14)</f>
        <v/>
      </c>
      <c r="I14" s="24" t="str">
        <f>IF(H14="","",IF(H14&gt;=RedScore,"Red",IF(H14&gt;=AmberScore,"Amber","Green")))</f>
        <v/>
      </c>
      <c r="J14" s="25" t="n"/>
      <c r="K14" s="25" t="n"/>
      <c r="L14" s="25" t="n"/>
      <c r="M14" s="27" t="n"/>
      <c r="N14" s="25" t="n"/>
      <c r="O14" s="27" t="n"/>
      <c r="P14" s="27" t="n"/>
      <c r="Q14" s="28" t="str">
        <f>IF(AND(N14="Open",H14&lt;&gt;""),H14+(1000-ROW())/10000,"")</f>
        <v/>
      </c>
    </row>
    <row r="15">
      <c r="A15" s="24" t="str">
        <f>IF(B15="","",LEFT(B15,1)&amp;"-"&amp;TEXT(COUNTIF($B$5:B15,B15),"000"))</f>
        <v/>
      </c>
      <c r="B15" s="25" t="n"/>
      <c r="C15" s="25" t="n"/>
      <c r="D15" s="25" t="n"/>
      <c r="E15" s="25" t="n"/>
      <c r="F15" s="25" t="n"/>
      <c r="G15" s="25" t="n"/>
      <c r="H15" s="26" t="str">
        <f>IF(OR(F15="",G15=""),"",F15*G15)</f>
        <v/>
      </c>
      <c r="I15" s="24" t="str">
        <f>IF(H15="","",IF(H15&gt;=RedScore,"Red",IF(H15&gt;=AmberScore,"Amber","Green")))</f>
        <v/>
      </c>
      <c r="J15" s="25" t="n"/>
      <c r="K15" s="25" t="n"/>
      <c r="L15" s="25" t="n"/>
      <c r="M15" s="27" t="n"/>
      <c r="N15" s="25" t="n"/>
      <c r="O15" s="27" t="n"/>
      <c r="P15" s="27" t="n"/>
      <c r="Q15" s="28" t="str">
        <f>IF(AND(N15="Open",H15&lt;&gt;""),H15+(1000-ROW())/10000,"")</f>
        <v/>
      </c>
    </row>
    <row r="16">
      <c r="A16" s="24" t="str">
        <f>IF(B16="","",LEFT(B16,1)&amp;"-"&amp;TEXT(COUNTIF($B$5:B16,B16),"000"))</f>
        <v/>
      </c>
      <c r="B16" s="25" t="n"/>
      <c r="C16" s="25" t="n"/>
      <c r="D16" s="25" t="n"/>
      <c r="E16" s="25" t="n"/>
      <c r="F16" s="25" t="n"/>
      <c r="G16" s="25" t="n"/>
      <c r="H16" s="26" t="str">
        <f>IF(OR(F16="",G16=""),"",F16*G16)</f>
        <v/>
      </c>
      <c r="I16" s="24" t="str">
        <f>IF(H16="","",IF(H16&gt;=RedScore,"Red",IF(H16&gt;=AmberScore,"Amber","Green")))</f>
        <v/>
      </c>
      <c r="J16" s="25" t="n"/>
      <c r="K16" s="25" t="n"/>
      <c r="L16" s="25" t="n"/>
      <c r="M16" s="27" t="n"/>
      <c r="N16" s="25" t="n"/>
      <c r="O16" s="27" t="n"/>
      <c r="P16" s="27" t="n"/>
      <c r="Q16" s="28" t="str">
        <f>IF(AND(N16="Open",H16&lt;&gt;""),H16+(1000-ROW())/10000,"")</f>
        <v/>
      </c>
    </row>
    <row r="17">
      <c r="A17" s="24" t="str">
        <f>IF(B17="","",LEFT(B17,1)&amp;"-"&amp;TEXT(COUNTIF($B$5:B17,B17),"000"))</f>
        <v/>
      </c>
      <c r="B17" s="25" t="n"/>
      <c r="C17" s="25" t="n"/>
      <c r="D17" s="25" t="n"/>
      <c r="E17" s="25" t="n"/>
      <c r="F17" s="25" t="n"/>
      <c r="G17" s="25" t="n"/>
      <c r="H17" s="26" t="str">
        <f>IF(OR(F17="",G17=""),"",F17*G17)</f>
        <v/>
      </c>
      <c r="I17" s="24" t="str">
        <f>IF(H17="","",IF(H17&gt;=RedScore,"Red",IF(H17&gt;=AmberScore,"Amber","Green")))</f>
        <v/>
      </c>
      <c r="J17" s="25" t="n"/>
      <c r="K17" s="25" t="n"/>
      <c r="L17" s="25" t="n"/>
      <c r="M17" s="27" t="n"/>
      <c r="N17" s="25" t="n"/>
      <c r="O17" s="27" t="n"/>
      <c r="P17" s="27" t="n"/>
      <c r="Q17" s="28" t="str">
        <f>IF(AND(N17="Open",H17&lt;&gt;""),H17+(1000-ROW())/10000,"")</f>
        <v/>
      </c>
    </row>
    <row r="18">
      <c r="A18" s="24" t="str">
        <f>IF(B18="","",LEFT(B18,1)&amp;"-"&amp;TEXT(COUNTIF($B$5:B18,B18),"000"))</f>
        <v/>
      </c>
      <c r="B18" s="25" t="n"/>
      <c r="C18" s="25" t="n"/>
      <c r="D18" s="25" t="n"/>
      <c r="E18" s="25" t="n"/>
      <c r="F18" s="25" t="n"/>
      <c r="G18" s="25" t="n"/>
      <c r="H18" s="26" t="str">
        <f>IF(OR(F18="",G18=""),"",F18*G18)</f>
        <v/>
      </c>
      <c r="I18" s="24" t="str">
        <f>IF(H18="","",IF(H18&gt;=RedScore,"Red",IF(H18&gt;=AmberScore,"Amber","Green")))</f>
        <v/>
      </c>
      <c r="J18" s="25" t="n"/>
      <c r="K18" s="25" t="n"/>
      <c r="L18" s="25" t="n"/>
      <c r="M18" s="27" t="n"/>
      <c r="N18" s="25" t="n"/>
      <c r="O18" s="27" t="n"/>
      <c r="P18" s="27" t="n"/>
      <c r="Q18" s="28" t="str">
        <f>IF(AND(N18="Open",H18&lt;&gt;""),H18+(1000-ROW())/10000,"")</f>
        <v/>
      </c>
    </row>
    <row r="19">
      <c r="A19" s="24" t="str">
        <f>IF(B19="","",LEFT(B19,1)&amp;"-"&amp;TEXT(COUNTIF($B$5:B19,B19),"000"))</f>
        <v/>
      </c>
      <c r="B19" s="25" t="n"/>
      <c r="C19" s="25" t="n"/>
      <c r="D19" s="25" t="n"/>
      <c r="E19" s="25" t="n"/>
      <c r="F19" s="25" t="n"/>
      <c r="G19" s="25" t="n"/>
      <c r="H19" s="26" t="str">
        <f>IF(OR(F19="",G19=""),"",F19*G19)</f>
        <v/>
      </c>
      <c r="I19" s="24" t="str">
        <f>IF(H19="","",IF(H19&gt;=RedScore,"Red",IF(H19&gt;=AmberScore,"Amber","Green")))</f>
        <v/>
      </c>
      <c r="J19" s="25" t="n"/>
      <c r="K19" s="25" t="n"/>
      <c r="L19" s="25" t="n"/>
      <c r="M19" s="27" t="n"/>
      <c r="N19" s="25" t="n"/>
      <c r="O19" s="27" t="n"/>
      <c r="P19" s="27" t="n"/>
      <c r="Q19" s="28" t="str">
        <f>IF(AND(N19="Open",H19&lt;&gt;""),H19+(1000-ROW())/10000,"")</f>
        <v/>
      </c>
    </row>
    <row r="20">
      <c r="A20" s="24" t="str">
        <f>IF(B20="","",LEFT(B20,1)&amp;"-"&amp;TEXT(COUNTIF($B$5:B20,B20),"000"))</f>
        <v/>
      </c>
      <c r="B20" s="25" t="n"/>
      <c r="C20" s="25" t="n"/>
      <c r="D20" s="25" t="n"/>
      <c r="E20" s="25" t="n"/>
      <c r="F20" s="25" t="n"/>
      <c r="G20" s="25" t="n"/>
      <c r="H20" s="26" t="str">
        <f>IF(OR(F20="",G20=""),"",F20*G20)</f>
        <v/>
      </c>
      <c r="I20" s="24" t="str">
        <f>IF(H20="","",IF(H20&gt;=RedScore,"Red",IF(H20&gt;=AmberScore,"Amber","Green")))</f>
        <v/>
      </c>
      <c r="J20" s="25" t="n"/>
      <c r="K20" s="25" t="n"/>
      <c r="L20" s="25" t="n"/>
      <c r="M20" s="27" t="n"/>
      <c r="N20" s="25" t="n"/>
      <c r="O20" s="27" t="n"/>
      <c r="P20" s="27" t="n"/>
      <c r="Q20" s="28" t="str">
        <f>IF(AND(N20="Open",H20&lt;&gt;""),H20+(1000-ROW())/10000,"")</f>
        <v/>
      </c>
    </row>
    <row r="21">
      <c r="A21" s="24" t="str">
        <f>IF(B21="","",LEFT(B21,1)&amp;"-"&amp;TEXT(COUNTIF($B$5:B21,B21),"000"))</f>
        <v/>
      </c>
      <c r="B21" s="25" t="n"/>
      <c r="C21" s="25" t="n"/>
      <c r="D21" s="25" t="n"/>
      <c r="E21" s="25" t="n"/>
      <c r="F21" s="25" t="n"/>
      <c r="G21" s="25" t="n"/>
      <c r="H21" s="26" t="str">
        <f>IF(OR(F21="",G21=""),"",F21*G21)</f>
        <v/>
      </c>
      <c r="I21" s="24" t="str">
        <f>IF(H21="","",IF(H21&gt;=RedScore,"Red",IF(H21&gt;=AmberScore,"Amber","Green")))</f>
        <v/>
      </c>
      <c r="J21" s="25" t="n"/>
      <c r="K21" s="25" t="n"/>
      <c r="L21" s="25" t="n"/>
      <c r="M21" s="27" t="n"/>
      <c r="N21" s="25" t="n"/>
      <c r="O21" s="27" t="n"/>
      <c r="P21" s="27" t="n"/>
      <c r="Q21" s="28" t="str">
        <f>IF(AND(N21="Open",H21&lt;&gt;""),H21+(1000-ROW())/10000,"")</f>
        <v/>
      </c>
    </row>
    <row r="22">
      <c r="A22" s="24" t="str">
        <f>IF(B22="","",LEFT(B22,1)&amp;"-"&amp;TEXT(COUNTIF($B$5:B22,B22),"000"))</f>
        <v/>
      </c>
      <c r="B22" s="25" t="n"/>
      <c r="C22" s="25" t="n"/>
      <c r="D22" s="25" t="n"/>
      <c r="E22" s="25" t="n"/>
      <c r="F22" s="25" t="n"/>
      <c r="G22" s="25" t="n"/>
      <c r="H22" s="26" t="str">
        <f>IF(OR(F22="",G22=""),"",F22*G22)</f>
        <v/>
      </c>
      <c r="I22" s="24" t="str">
        <f>IF(H22="","",IF(H22&gt;=RedScore,"Red",IF(H22&gt;=AmberScore,"Amber","Green")))</f>
        <v/>
      </c>
      <c r="J22" s="25" t="n"/>
      <c r="K22" s="25" t="n"/>
      <c r="L22" s="25" t="n"/>
      <c r="M22" s="27" t="n"/>
      <c r="N22" s="25" t="n"/>
      <c r="O22" s="27" t="n"/>
      <c r="P22" s="27" t="n"/>
      <c r="Q22" s="28" t="str">
        <f>IF(AND(N22="Open",H22&lt;&gt;""),H22+(1000-ROW())/10000,"")</f>
        <v/>
      </c>
    </row>
    <row r="23">
      <c r="A23" s="24" t="str">
        <f>IF(B23="","",LEFT(B23,1)&amp;"-"&amp;TEXT(COUNTIF($B$5:B23,B23),"000"))</f>
        <v/>
      </c>
      <c r="B23" s="25" t="n"/>
      <c r="C23" s="25" t="n"/>
      <c r="D23" s="25" t="n"/>
      <c r="E23" s="25" t="n"/>
      <c r="F23" s="25" t="n"/>
      <c r="G23" s="25" t="n"/>
      <c r="H23" s="26" t="str">
        <f>IF(OR(F23="",G23=""),"",F23*G23)</f>
        <v/>
      </c>
      <c r="I23" s="24" t="str">
        <f>IF(H23="","",IF(H23&gt;=RedScore,"Red",IF(H23&gt;=AmberScore,"Amber","Green")))</f>
        <v/>
      </c>
      <c r="J23" s="25" t="n"/>
      <c r="K23" s="25" t="n"/>
      <c r="L23" s="25" t="n"/>
      <c r="M23" s="27" t="n"/>
      <c r="N23" s="25" t="n"/>
      <c r="O23" s="27" t="n"/>
      <c r="P23" s="27" t="n"/>
      <c r="Q23" s="28" t="str">
        <f>IF(AND(N23="Open",H23&lt;&gt;""),H23+(1000-ROW())/10000,"")</f>
        <v/>
      </c>
    </row>
    <row r="24">
      <c r="A24" s="24" t="str">
        <f>IF(B24="","",LEFT(B24,1)&amp;"-"&amp;TEXT(COUNTIF($B$5:B24,B24),"000"))</f>
        <v/>
      </c>
      <c r="B24" s="25" t="n"/>
      <c r="C24" s="25" t="n"/>
      <c r="D24" s="25" t="n"/>
      <c r="E24" s="25" t="n"/>
      <c r="F24" s="25" t="n"/>
      <c r="G24" s="25" t="n"/>
      <c r="H24" s="26" t="str">
        <f>IF(OR(F24="",G24=""),"",F24*G24)</f>
        <v/>
      </c>
      <c r="I24" s="24" t="str">
        <f>IF(H24="","",IF(H24&gt;=RedScore,"Red",IF(H24&gt;=AmberScore,"Amber","Green")))</f>
        <v/>
      </c>
      <c r="J24" s="25" t="n"/>
      <c r="K24" s="25" t="n"/>
      <c r="L24" s="25" t="n"/>
      <c r="M24" s="27" t="n"/>
      <c r="N24" s="25" t="n"/>
      <c r="O24" s="27" t="n"/>
      <c r="P24" s="27" t="n"/>
      <c r="Q24" s="28" t="str">
        <f>IF(AND(N24="Open",H24&lt;&gt;""),H24+(1000-ROW())/10000,"")</f>
        <v/>
      </c>
    </row>
    <row r="25">
      <c r="A25" s="24" t="str">
        <f>IF(B25="","",LEFT(B25,1)&amp;"-"&amp;TEXT(COUNTIF($B$5:B25,B25),"000"))</f>
        <v/>
      </c>
      <c r="B25" s="25" t="n"/>
      <c r="C25" s="25" t="n"/>
      <c r="D25" s="25" t="n"/>
      <c r="E25" s="25" t="n"/>
      <c r="F25" s="25" t="n"/>
      <c r="G25" s="25" t="n"/>
      <c r="H25" s="26" t="str">
        <f>IF(OR(F25="",G25=""),"",F25*G25)</f>
        <v/>
      </c>
      <c r="I25" s="24" t="str">
        <f>IF(H25="","",IF(H25&gt;=RedScore,"Red",IF(H25&gt;=AmberScore,"Amber","Green")))</f>
        <v/>
      </c>
      <c r="J25" s="25" t="n"/>
      <c r="K25" s="25" t="n"/>
      <c r="L25" s="25" t="n"/>
      <c r="M25" s="27" t="n"/>
      <c r="N25" s="25" t="n"/>
      <c r="O25" s="27" t="n"/>
      <c r="P25" s="27" t="n"/>
      <c r="Q25" s="28" t="str">
        <f>IF(AND(N25="Open",H25&lt;&gt;""),H25+(1000-ROW())/10000,"")</f>
        <v/>
      </c>
    </row>
    <row r="26">
      <c r="A26" s="24" t="str">
        <f>IF(B26="","",LEFT(B26,1)&amp;"-"&amp;TEXT(COUNTIF($B$5:B26,B26),"000"))</f>
        <v/>
      </c>
      <c r="B26" s="25" t="n"/>
      <c r="C26" s="25" t="n"/>
      <c r="D26" s="25" t="n"/>
      <c r="E26" s="25" t="n"/>
      <c r="F26" s="25" t="n"/>
      <c r="G26" s="25" t="n"/>
      <c r="H26" s="26" t="str">
        <f>IF(OR(F26="",G26=""),"",F26*G26)</f>
        <v/>
      </c>
      <c r="I26" s="24" t="str">
        <f>IF(H26="","",IF(H26&gt;=RedScore,"Red",IF(H26&gt;=AmberScore,"Amber","Green")))</f>
        <v/>
      </c>
      <c r="J26" s="25" t="n"/>
      <c r="K26" s="25" t="n"/>
      <c r="L26" s="25" t="n"/>
      <c r="M26" s="27" t="n"/>
      <c r="N26" s="25" t="n"/>
      <c r="O26" s="27" t="n"/>
      <c r="P26" s="27" t="n"/>
      <c r="Q26" s="28" t="str">
        <f>IF(AND(N26="Open",H26&lt;&gt;""),H26+(1000-ROW())/10000,"")</f>
        <v/>
      </c>
    </row>
    <row r="27">
      <c r="A27" s="24" t="str">
        <f>IF(B27="","",LEFT(B27,1)&amp;"-"&amp;TEXT(COUNTIF($B$5:B27,B27),"000"))</f>
        <v/>
      </c>
      <c r="B27" s="25" t="n"/>
      <c r="C27" s="25" t="n"/>
      <c r="D27" s="25" t="n"/>
      <c r="E27" s="25" t="n"/>
      <c r="F27" s="25" t="n"/>
      <c r="G27" s="25" t="n"/>
      <c r="H27" s="26" t="str">
        <f>IF(OR(F27="",G27=""),"",F27*G27)</f>
        <v/>
      </c>
      <c r="I27" s="24" t="str">
        <f>IF(H27="","",IF(H27&gt;=RedScore,"Red",IF(H27&gt;=AmberScore,"Amber","Green")))</f>
        <v/>
      </c>
      <c r="J27" s="25" t="n"/>
      <c r="K27" s="25" t="n"/>
      <c r="L27" s="25" t="n"/>
      <c r="M27" s="27" t="n"/>
      <c r="N27" s="25" t="n"/>
      <c r="O27" s="27" t="n"/>
      <c r="P27" s="27" t="n"/>
      <c r="Q27" s="28" t="str">
        <f>IF(AND(N27="Open",H27&lt;&gt;""),H27+(1000-ROW())/10000,"")</f>
        <v/>
      </c>
    </row>
    <row r="28">
      <c r="A28" s="24" t="str">
        <f>IF(B28="","",LEFT(B28,1)&amp;"-"&amp;TEXT(COUNTIF($B$5:B28,B28),"000"))</f>
        <v/>
      </c>
      <c r="B28" s="25" t="n"/>
      <c r="C28" s="25" t="n"/>
      <c r="D28" s="25" t="n"/>
      <c r="E28" s="25" t="n"/>
      <c r="F28" s="25" t="n"/>
      <c r="G28" s="25" t="n"/>
      <c r="H28" s="26" t="str">
        <f>IF(OR(F28="",G28=""),"",F28*G28)</f>
        <v/>
      </c>
      <c r="I28" s="24" t="str">
        <f>IF(H28="","",IF(H28&gt;=RedScore,"Red",IF(H28&gt;=AmberScore,"Amber","Green")))</f>
        <v/>
      </c>
      <c r="J28" s="25" t="n"/>
      <c r="K28" s="25" t="n"/>
      <c r="L28" s="25" t="n"/>
      <c r="M28" s="27" t="n"/>
      <c r="N28" s="25" t="n"/>
      <c r="O28" s="27" t="n"/>
      <c r="P28" s="27" t="n"/>
      <c r="Q28" s="28" t="str">
        <f>IF(AND(N28="Open",H28&lt;&gt;""),H28+(1000-ROW())/10000,"")</f>
        <v/>
      </c>
    </row>
    <row r="29">
      <c r="A29" s="24" t="str">
        <f>IF(B29="","",LEFT(B29,1)&amp;"-"&amp;TEXT(COUNTIF($B$5:B29,B29),"000"))</f>
        <v/>
      </c>
      <c r="B29" s="25" t="n"/>
      <c r="C29" s="25" t="n"/>
      <c r="D29" s="25" t="n"/>
      <c r="E29" s="25" t="n"/>
      <c r="F29" s="25" t="n"/>
      <c r="G29" s="25" t="n"/>
      <c r="H29" s="26" t="str">
        <f>IF(OR(F29="",G29=""),"",F29*G29)</f>
        <v/>
      </c>
      <c r="I29" s="24" t="str">
        <f>IF(H29="","",IF(H29&gt;=RedScore,"Red",IF(H29&gt;=AmberScore,"Amber","Green")))</f>
        <v/>
      </c>
      <c r="J29" s="25" t="n"/>
      <c r="K29" s="25" t="n"/>
      <c r="L29" s="25" t="n"/>
      <c r="M29" s="27" t="n"/>
      <c r="N29" s="25" t="n"/>
      <c r="O29" s="27" t="n"/>
      <c r="P29" s="27" t="n"/>
      <c r="Q29" s="28" t="str">
        <f>IF(AND(N29="Open",H29&lt;&gt;""),H29+(1000-ROW())/10000,"")</f>
        <v/>
      </c>
    </row>
    <row r="30">
      <c r="A30" s="24" t="str">
        <f>IF(B30="","",LEFT(B30,1)&amp;"-"&amp;TEXT(COUNTIF($B$5:B30,B30),"000"))</f>
        <v/>
      </c>
      <c r="B30" s="25" t="n"/>
      <c r="C30" s="25" t="n"/>
      <c r="D30" s="25" t="n"/>
      <c r="E30" s="25" t="n"/>
      <c r="F30" s="25" t="n"/>
      <c r="G30" s="25" t="n"/>
      <c r="H30" s="26" t="str">
        <f>IF(OR(F30="",G30=""),"",F30*G30)</f>
        <v/>
      </c>
      <c r="I30" s="24" t="str">
        <f>IF(H30="","",IF(H30&gt;=RedScore,"Red",IF(H30&gt;=AmberScore,"Amber","Green")))</f>
        <v/>
      </c>
      <c r="J30" s="25" t="n"/>
      <c r="K30" s="25" t="n"/>
      <c r="L30" s="25" t="n"/>
      <c r="M30" s="27" t="n"/>
      <c r="N30" s="25" t="n"/>
      <c r="O30" s="27" t="n"/>
      <c r="P30" s="27" t="n"/>
      <c r="Q30" s="28" t="str">
        <f>IF(AND(N30="Open",H30&lt;&gt;""),H30+(1000-ROW())/10000,"")</f>
        <v/>
      </c>
    </row>
    <row r="31">
      <c r="A31" s="24" t="str">
        <f>IF(B31="","",LEFT(B31,1)&amp;"-"&amp;TEXT(COUNTIF($B$5:B31,B31),"000"))</f>
        <v/>
      </c>
      <c r="B31" s="25" t="n"/>
      <c r="C31" s="25" t="n"/>
      <c r="D31" s="25" t="n"/>
      <c r="E31" s="25" t="n"/>
      <c r="F31" s="25" t="n"/>
      <c r="G31" s="25" t="n"/>
      <c r="H31" s="26" t="str">
        <f>IF(OR(F31="",G31=""),"",F31*G31)</f>
        <v/>
      </c>
      <c r="I31" s="24" t="str">
        <f>IF(H31="","",IF(H31&gt;=RedScore,"Red",IF(H31&gt;=AmberScore,"Amber","Green")))</f>
        <v/>
      </c>
      <c r="J31" s="25" t="n"/>
      <c r="K31" s="25" t="n"/>
      <c r="L31" s="25" t="n"/>
      <c r="M31" s="27" t="n"/>
      <c r="N31" s="25" t="n"/>
      <c r="O31" s="27" t="n"/>
      <c r="P31" s="27" t="n"/>
      <c r="Q31" s="28" t="str">
        <f>IF(AND(N31="Open",H31&lt;&gt;""),H31+(1000-ROW())/10000,"")</f>
        <v/>
      </c>
    </row>
    <row r="32">
      <c r="A32" s="24" t="str">
        <f>IF(B32="","",LEFT(B32,1)&amp;"-"&amp;TEXT(COUNTIF($B$5:B32,B32),"000"))</f>
        <v/>
      </c>
      <c r="B32" s="25" t="n"/>
      <c r="C32" s="25" t="n"/>
      <c r="D32" s="25" t="n"/>
      <c r="E32" s="25" t="n"/>
      <c r="F32" s="25" t="n"/>
      <c r="G32" s="25" t="n"/>
      <c r="H32" s="26" t="str">
        <f>IF(OR(F32="",G32=""),"",F32*G32)</f>
        <v/>
      </c>
      <c r="I32" s="24" t="str">
        <f>IF(H32="","",IF(H32&gt;=RedScore,"Red",IF(H32&gt;=AmberScore,"Amber","Green")))</f>
        <v/>
      </c>
      <c r="J32" s="25" t="n"/>
      <c r="K32" s="25" t="n"/>
      <c r="L32" s="25" t="n"/>
      <c r="M32" s="27" t="n"/>
      <c r="N32" s="25" t="n"/>
      <c r="O32" s="27" t="n"/>
      <c r="P32" s="27" t="n"/>
      <c r="Q32" s="28" t="str">
        <f>IF(AND(N32="Open",H32&lt;&gt;""),H32+(1000-ROW())/10000,"")</f>
        <v/>
      </c>
    </row>
    <row r="33">
      <c r="A33" s="24" t="str">
        <f>IF(B33="","",LEFT(B33,1)&amp;"-"&amp;TEXT(COUNTIF($B$5:B33,B33),"000"))</f>
        <v/>
      </c>
      <c r="B33" s="25" t="n"/>
      <c r="C33" s="25" t="n"/>
      <c r="D33" s="25" t="n"/>
      <c r="E33" s="25" t="n"/>
      <c r="F33" s="25" t="n"/>
      <c r="G33" s="25" t="n"/>
      <c r="H33" s="26" t="str">
        <f>IF(OR(F33="",G33=""),"",F33*G33)</f>
        <v/>
      </c>
      <c r="I33" s="24" t="str">
        <f>IF(H33="","",IF(H33&gt;=RedScore,"Red",IF(H33&gt;=AmberScore,"Amber","Green")))</f>
        <v/>
      </c>
      <c r="J33" s="25" t="n"/>
      <c r="K33" s="25" t="n"/>
      <c r="L33" s="25" t="n"/>
      <c r="M33" s="27" t="n"/>
      <c r="N33" s="25" t="n"/>
      <c r="O33" s="27" t="n"/>
      <c r="P33" s="27" t="n"/>
      <c r="Q33" s="28" t="str">
        <f>IF(AND(N33="Open",H33&lt;&gt;""),H33+(1000-ROW())/10000,"")</f>
        <v/>
      </c>
    </row>
    <row r="34">
      <c r="A34" s="24" t="str">
        <f>IF(B34="","",LEFT(B34,1)&amp;"-"&amp;TEXT(COUNTIF($B$5:B34,B34),"000"))</f>
        <v/>
      </c>
      <c r="B34" s="25" t="n"/>
      <c r="C34" s="25" t="n"/>
      <c r="D34" s="25" t="n"/>
      <c r="E34" s="25" t="n"/>
      <c r="F34" s="25" t="n"/>
      <c r="G34" s="25" t="n"/>
      <c r="H34" s="26" t="str">
        <f>IF(OR(F34="",G34=""),"",F34*G34)</f>
        <v/>
      </c>
      <c r="I34" s="24" t="str">
        <f>IF(H34="","",IF(H34&gt;=RedScore,"Red",IF(H34&gt;=AmberScore,"Amber","Green")))</f>
        <v/>
      </c>
      <c r="J34" s="25" t="n"/>
      <c r="K34" s="25" t="n"/>
      <c r="L34" s="25" t="n"/>
      <c r="M34" s="27" t="n"/>
      <c r="N34" s="25" t="n"/>
      <c r="O34" s="27" t="n"/>
      <c r="P34" s="27" t="n"/>
      <c r="Q34" s="28" t="str">
        <f>IF(AND(N34="Open",H34&lt;&gt;""),H34+(1000-ROW())/10000,"")</f>
        <v/>
      </c>
    </row>
    <row r="35">
      <c r="A35" s="24" t="str">
        <f>IF(B35="","",LEFT(B35,1)&amp;"-"&amp;TEXT(COUNTIF($B$5:B35,B35),"000"))</f>
        <v/>
      </c>
      <c r="B35" s="25" t="n"/>
      <c r="C35" s="25" t="n"/>
      <c r="D35" s="25" t="n"/>
      <c r="E35" s="25" t="n"/>
      <c r="F35" s="25" t="n"/>
      <c r="G35" s="25" t="n"/>
      <c r="H35" s="26" t="str">
        <f>IF(OR(F35="",G35=""),"",F35*G35)</f>
        <v/>
      </c>
      <c r="I35" s="24" t="str">
        <f>IF(H35="","",IF(H35&gt;=RedScore,"Red",IF(H35&gt;=AmberScore,"Amber","Green")))</f>
        <v/>
      </c>
      <c r="J35" s="25" t="n"/>
      <c r="K35" s="25" t="n"/>
      <c r="L35" s="25" t="n"/>
      <c r="M35" s="27" t="n"/>
      <c r="N35" s="25" t="n"/>
      <c r="O35" s="27" t="n"/>
      <c r="P35" s="27" t="n"/>
      <c r="Q35" s="28" t="str">
        <f>IF(AND(N35="Open",H35&lt;&gt;""),H35+(1000-ROW())/10000,"")</f>
        <v/>
      </c>
    </row>
    <row r="36">
      <c r="A36" s="24" t="str">
        <f>IF(B36="","",LEFT(B36,1)&amp;"-"&amp;TEXT(COUNTIF($B$5:B36,B36),"000"))</f>
        <v/>
      </c>
      <c r="B36" s="25" t="n"/>
      <c r="C36" s="25" t="n"/>
      <c r="D36" s="25" t="n"/>
      <c r="E36" s="25" t="n"/>
      <c r="F36" s="25" t="n"/>
      <c r="G36" s="25" t="n"/>
      <c r="H36" s="26" t="str">
        <f>IF(OR(F36="",G36=""),"",F36*G36)</f>
        <v/>
      </c>
      <c r="I36" s="24" t="str">
        <f>IF(H36="","",IF(H36&gt;=RedScore,"Red",IF(H36&gt;=AmberScore,"Amber","Green")))</f>
        <v/>
      </c>
      <c r="J36" s="25" t="n"/>
      <c r="K36" s="25" t="n"/>
      <c r="L36" s="25" t="n"/>
      <c r="M36" s="27" t="n"/>
      <c r="N36" s="25" t="n"/>
      <c r="O36" s="27" t="n"/>
      <c r="P36" s="27" t="n"/>
      <c r="Q36" s="28" t="str">
        <f>IF(AND(N36="Open",H36&lt;&gt;""),H36+(1000-ROW())/10000,"")</f>
        <v/>
      </c>
    </row>
    <row r="37">
      <c r="A37" s="24" t="str">
        <f>IF(B37="","",LEFT(B37,1)&amp;"-"&amp;TEXT(COUNTIF($B$5:B37,B37),"000"))</f>
        <v/>
      </c>
      <c r="B37" s="25" t="n"/>
      <c r="C37" s="25" t="n"/>
      <c r="D37" s="25" t="n"/>
      <c r="E37" s="25" t="n"/>
      <c r="F37" s="25" t="n"/>
      <c r="G37" s="25" t="n"/>
      <c r="H37" s="26" t="str">
        <f>IF(OR(F37="",G37=""),"",F37*G37)</f>
        <v/>
      </c>
      <c r="I37" s="24" t="str">
        <f>IF(H37="","",IF(H37&gt;=RedScore,"Red",IF(H37&gt;=AmberScore,"Amber","Green")))</f>
        <v/>
      </c>
      <c r="J37" s="25" t="n"/>
      <c r="K37" s="25" t="n"/>
      <c r="L37" s="25" t="n"/>
      <c r="M37" s="27" t="n"/>
      <c r="N37" s="25" t="n"/>
      <c r="O37" s="27" t="n"/>
      <c r="P37" s="27" t="n"/>
      <c r="Q37" s="28" t="str">
        <f>IF(AND(N37="Open",H37&lt;&gt;""),H37+(1000-ROW())/10000,"")</f>
        <v/>
      </c>
    </row>
    <row r="38">
      <c r="A38" s="24" t="str">
        <f>IF(B38="","",LEFT(B38,1)&amp;"-"&amp;TEXT(COUNTIF($B$5:B38,B38),"000"))</f>
        <v/>
      </c>
      <c r="B38" s="25" t="n"/>
      <c r="C38" s="25" t="n"/>
      <c r="D38" s="25" t="n"/>
      <c r="E38" s="25" t="n"/>
      <c r="F38" s="25" t="n"/>
      <c r="G38" s="25" t="n"/>
      <c r="H38" s="26" t="str">
        <f>IF(OR(F38="",G38=""),"",F38*G38)</f>
        <v/>
      </c>
      <c r="I38" s="24" t="str">
        <f>IF(H38="","",IF(H38&gt;=RedScore,"Red",IF(H38&gt;=AmberScore,"Amber","Green")))</f>
        <v/>
      </c>
      <c r="J38" s="25" t="n"/>
      <c r="K38" s="25" t="n"/>
      <c r="L38" s="25" t="n"/>
      <c r="M38" s="27" t="n"/>
      <c r="N38" s="25" t="n"/>
      <c r="O38" s="27" t="n"/>
      <c r="P38" s="27" t="n"/>
      <c r="Q38" s="28" t="str">
        <f>IF(AND(N38="Open",H38&lt;&gt;""),H38+(1000-ROW())/10000,"")</f>
        <v/>
      </c>
    </row>
    <row r="39">
      <c r="A39" s="24" t="str">
        <f>IF(B39="","",LEFT(B39,1)&amp;"-"&amp;TEXT(COUNTIF($B$5:B39,B39),"000"))</f>
        <v/>
      </c>
      <c r="B39" s="25" t="n"/>
      <c r="C39" s="25" t="n"/>
      <c r="D39" s="25" t="n"/>
      <c r="E39" s="25" t="n"/>
      <c r="F39" s="25" t="n"/>
      <c r="G39" s="25" t="n"/>
      <c r="H39" s="26" t="str">
        <f>IF(OR(F39="",G39=""),"",F39*G39)</f>
        <v/>
      </c>
      <c r="I39" s="24" t="str">
        <f>IF(H39="","",IF(H39&gt;=RedScore,"Red",IF(H39&gt;=AmberScore,"Amber","Green")))</f>
        <v/>
      </c>
      <c r="J39" s="25" t="n"/>
      <c r="K39" s="25" t="n"/>
      <c r="L39" s="25" t="n"/>
      <c r="M39" s="27" t="n"/>
      <c r="N39" s="25" t="n"/>
      <c r="O39" s="27" t="n"/>
      <c r="P39" s="27" t="n"/>
      <c r="Q39" s="28" t="str">
        <f>IF(AND(N39="Open",H39&lt;&gt;""),H39+(1000-ROW())/10000,"")</f>
        <v/>
      </c>
    </row>
    <row r="40">
      <c r="A40" s="24" t="str">
        <f>IF(B40="","",LEFT(B40,1)&amp;"-"&amp;TEXT(COUNTIF($B$5:B40,B40),"000"))</f>
        <v/>
      </c>
      <c r="B40" s="25" t="n"/>
      <c r="C40" s="25" t="n"/>
      <c r="D40" s="25" t="n"/>
      <c r="E40" s="25" t="n"/>
      <c r="F40" s="25" t="n"/>
      <c r="G40" s="25" t="n"/>
      <c r="H40" s="26" t="str">
        <f>IF(OR(F40="",G40=""),"",F40*G40)</f>
        <v/>
      </c>
      <c r="I40" s="24" t="str">
        <f>IF(H40="","",IF(H40&gt;=RedScore,"Red",IF(H40&gt;=AmberScore,"Amber","Green")))</f>
        <v/>
      </c>
      <c r="J40" s="25" t="n"/>
      <c r="K40" s="25" t="n"/>
      <c r="L40" s="25" t="n"/>
      <c r="M40" s="27" t="n"/>
      <c r="N40" s="25" t="n"/>
      <c r="O40" s="27" t="n"/>
      <c r="P40" s="27" t="n"/>
      <c r="Q40" s="28" t="str">
        <f>IF(AND(N40="Open",H40&lt;&gt;""),H40+(1000-ROW())/10000,"")</f>
        <v/>
      </c>
    </row>
    <row r="41">
      <c r="A41" s="24" t="str">
        <f>IF(B41="","",LEFT(B41,1)&amp;"-"&amp;TEXT(COUNTIF($B$5:B41,B41),"000"))</f>
        <v/>
      </c>
      <c r="B41" s="25" t="n"/>
      <c r="C41" s="25" t="n"/>
      <c r="D41" s="25" t="n"/>
      <c r="E41" s="25" t="n"/>
      <c r="F41" s="25" t="n"/>
      <c r="G41" s="25" t="n"/>
      <c r="H41" s="26" t="str">
        <f>IF(OR(F41="",G41=""),"",F41*G41)</f>
        <v/>
      </c>
      <c r="I41" s="24" t="str">
        <f>IF(H41="","",IF(H41&gt;=RedScore,"Red",IF(H41&gt;=AmberScore,"Amber","Green")))</f>
        <v/>
      </c>
      <c r="J41" s="25" t="n"/>
      <c r="K41" s="25" t="n"/>
      <c r="L41" s="25" t="n"/>
      <c r="M41" s="27" t="n"/>
      <c r="N41" s="25" t="n"/>
      <c r="O41" s="27" t="n"/>
      <c r="P41" s="27" t="n"/>
      <c r="Q41" s="28" t="str">
        <f>IF(AND(N41="Open",H41&lt;&gt;""),H41+(1000-ROW())/10000,"")</f>
        <v/>
      </c>
    </row>
    <row r="42">
      <c r="A42" s="24" t="str">
        <f>IF(B42="","",LEFT(B42,1)&amp;"-"&amp;TEXT(COUNTIF($B$5:B42,B42),"000"))</f>
        <v/>
      </c>
      <c r="B42" s="25" t="n"/>
      <c r="C42" s="25" t="n"/>
      <c r="D42" s="25" t="n"/>
      <c r="E42" s="25" t="n"/>
      <c r="F42" s="25" t="n"/>
      <c r="G42" s="25" t="n"/>
      <c r="H42" s="26" t="str">
        <f>IF(OR(F42="",G42=""),"",F42*G42)</f>
        <v/>
      </c>
      <c r="I42" s="24" t="str">
        <f>IF(H42="","",IF(H42&gt;=RedScore,"Red",IF(H42&gt;=AmberScore,"Amber","Green")))</f>
        <v/>
      </c>
      <c r="J42" s="25" t="n"/>
      <c r="K42" s="25" t="n"/>
      <c r="L42" s="25" t="n"/>
      <c r="M42" s="27" t="n"/>
      <c r="N42" s="25" t="n"/>
      <c r="O42" s="27" t="n"/>
      <c r="P42" s="27" t="n"/>
      <c r="Q42" s="28" t="str">
        <f>IF(AND(N42="Open",H42&lt;&gt;""),H42+(1000-ROW())/10000,"")</f>
        <v/>
      </c>
    </row>
    <row r="43">
      <c r="A43" s="24" t="str">
        <f>IF(B43="","",LEFT(B43,1)&amp;"-"&amp;TEXT(COUNTIF($B$5:B43,B43),"000"))</f>
        <v/>
      </c>
      <c r="B43" s="25" t="n"/>
      <c r="C43" s="25" t="n"/>
      <c r="D43" s="25" t="n"/>
      <c r="E43" s="25" t="n"/>
      <c r="F43" s="25" t="n"/>
      <c r="G43" s="25" t="n"/>
      <c r="H43" s="26" t="str">
        <f>IF(OR(F43="",G43=""),"",F43*G43)</f>
        <v/>
      </c>
      <c r="I43" s="24" t="str">
        <f>IF(H43="","",IF(H43&gt;=RedScore,"Red",IF(H43&gt;=AmberScore,"Amber","Green")))</f>
        <v/>
      </c>
      <c r="J43" s="25" t="n"/>
      <c r="K43" s="25" t="n"/>
      <c r="L43" s="25" t="n"/>
      <c r="M43" s="27" t="n"/>
      <c r="N43" s="25" t="n"/>
      <c r="O43" s="27" t="n"/>
      <c r="P43" s="27" t="n"/>
      <c r="Q43" s="28" t="str">
        <f>IF(AND(N43="Open",H43&lt;&gt;""),H43+(1000-ROW())/10000,"")</f>
        <v/>
      </c>
    </row>
    <row r="44">
      <c r="A44" s="24" t="str">
        <f>IF(B44="","",LEFT(B44,1)&amp;"-"&amp;TEXT(COUNTIF($B$5:B44,B44),"000"))</f>
        <v/>
      </c>
      <c r="B44" s="25" t="n"/>
      <c r="C44" s="25" t="n"/>
      <c r="D44" s="25" t="n"/>
      <c r="E44" s="25" t="n"/>
      <c r="F44" s="25" t="n"/>
      <c r="G44" s="25" t="n"/>
      <c r="H44" s="26" t="str">
        <f>IF(OR(F44="",G44=""),"",F44*G44)</f>
        <v/>
      </c>
      <c r="I44" s="24" t="str">
        <f>IF(H44="","",IF(H44&gt;=RedScore,"Red",IF(H44&gt;=AmberScore,"Amber","Green")))</f>
        <v/>
      </c>
      <c r="J44" s="25" t="n"/>
      <c r="K44" s="25" t="n"/>
      <c r="L44" s="25" t="n"/>
      <c r="M44" s="27" t="n"/>
      <c r="N44" s="25" t="n"/>
      <c r="O44" s="27" t="n"/>
      <c r="P44" s="27" t="n"/>
      <c r="Q44" s="28" t="str">
        <f>IF(AND(N44="Open",H44&lt;&gt;""),H44+(1000-ROW())/10000,"")</f>
        <v/>
      </c>
    </row>
    <row r="45">
      <c r="A45" s="24" t="str">
        <f>IF(B45="","",LEFT(B45,1)&amp;"-"&amp;TEXT(COUNTIF($B$5:B45,B45),"000"))</f>
        <v/>
      </c>
      <c r="B45" s="25" t="n"/>
      <c r="C45" s="25" t="n"/>
      <c r="D45" s="25" t="n"/>
      <c r="E45" s="25" t="n"/>
      <c r="F45" s="25" t="n"/>
      <c r="G45" s="25" t="n"/>
      <c r="H45" s="26" t="str">
        <f>IF(OR(F45="",G45=""),"",F45*G45)</f>
        <v/>
      </c>
      <c r="I45" s="24" t="str">
        <f>IF(H45="","",IF(H45&gt;=RedScore,"Red",IF(H45&gt;=AmberScore,"Amber","Green")))</f>
        <v/>
      </c>
      <c r="J45" s="25" t="n"/>
      <c r="K45" s="25" t="n"/>
      <c r="L45" s="25" t="n"/>
      <c r="M45" s="27" t="n"/>
      <c r="N45" s="25" t="n"/>
      <c r="O45" s="27" t="n"/>
      <c r="P45" s="27" t="n"/>
      <c r="Q45" s="28" t="str">
        <f>IF(AND(N45="Open",H45&lt;&gt;""),H45+(1000-ROW())/10000,"")</f>
        <v/>
      </c>
    </row>
    <row r="46">
      <c r="A46" s="24" t="str">
        <f>IF(B46="","",LEFT(B46,1)&amp;"-"&amp;TEXT(COUNTIF($B$5:B46,B46),"000"))</f>
        <v/>
      </c>
      <c r="B46" s="25" t="n"/>
      <c r="C46" s="25" t="n"/>
      <c r="D46" s="25" t="n"/>
      <c r="E46" s="25" t="n"/>
      <c r="F46" s="25" t="n"/>
      <c r="G46" s="25" t="n"/>
      <c r="H46" s="26" t="str">
        <f>IF(OR(F46="",G46=""),"",F46*G46)</f>
        <v/>
      </c>
      <c r="I46" s="24" t="str">
        <f>IF(H46="","",IF(H46&gt;=RedScore,"Red",IF(H46&gt;=AmberScore,"Amber","Green")))</f>
        <v/>
      </c>
      <c r="J46" s="25" t="n"/>
      <c r="K46" s="25" t="n"/>
      <c r="L46" s="25" t="n"/>
      <c r="M46" s="27" t="n"/>
      <c r="N46" s="25" t="n"/>
      <c r="O46" s="27" t="n"/>
      <c r="P46" s="27" t="n"/>
      <c r="Q46" s="28" t="str">
        <f>IF(AND(N46="Open",H46&lt;&gt;""),H46+(1000-ROW())/10000,"")</f>
        <v/>
      </c>
    </row>
    <row r="47">
      <c r="A47" s="24" t="str">
        <f>IF(B47="","",LEFT(B47,1)&amp;"-"&amp;TEXT(COUNTIF($B$5:B47,B47),"000"))</f>
        <v/>
      </c>
      <c r="B47" s="25" t="n"/>
      <c r="C47" s="25" t="n"/>
      <c r="D47" s="25" t="n"/>
      <c r="E47" s="25" t="n"/>
      <c r="F47" s="25" t="n"/>
      <c r="G47" s="25" t="n"/>
      <c r="H47" s="26" t="str">
        <f>IF(OR(F47="",G47=""),"",F47*G47)</f>
        <v/>
      </c>
      <c r="I47" s="24" t="str">
        <f>IF(H47="","",IF(H47&gt;=RedScore,"Red",IF(H47&gt;=AmberScore,"Amber","Green")))</f>
        <v/>
      </c>
      <c r="J47" s="25" t="n"/>
      <c r="K47" s="25" t="n"/>
      <c r="L47" s="25" t="n"/>
      <c r="M47" s="27" t="n"/>
      <c r="N47" s="25" t="n"/>
      <c r="O47" s="27" t="n"/>
      <c r="P47" s="27" t="n"/>
      <c r="Q47" s="28" t="str">
        <f>IF(AND(N47="Open",H47&lt;&gt;""),H47+(1000-ROW())/10000,"")</f>
        <v/>
      </c>
    </row>
    <row r="48">
      <c r="A48" s="24" t="str">
        <f>IF(B48="","",LEFT(B48,1)&amp;"-"&amp;TEXT(COUNTIF($B$5:B48,B48),"000"))</f>
        <v/>
      </c>
      <c r="B48" s="25" t="n"/>
      <c r="C48" s="25" t="n"/>
      <c r="D48" s="25" t="n"/>
      <c r="E48" s="25" t="n"/>
      <c r="F48" s="25" t="n"/>
      <c r="G48" s="25" t="n"/>
      <c r="H48" s="26" t="str">
        <f>IF(OR(F48="",G48=""),"",F48*G48)</f>
        <v/>
      </c>
      <c r="I48" s="24" t="str">
        <f>IF(H48="","",IF(H48&gt;=RedScore,"Red",IF(H48&gt;=AmberScore,"Amber","Green")))</f>
        <v/>
      </c>
      <c r="J48" s="25" t="n"/>
      <c r="K48" s="25" t="n"/>
      <c r="L48" s="25" t="n"/>
      <c r="M48" s="27" t="n"/>
      <c r="N48" s="25" t="n"/>
      <c r="O48" s="27" t="n"/>
      <c r="P48" s="27" t="n"/>
      <c r="Q48" s="28" t="str">
        <f>IF(AND(N48="Open",H48&lt;&gt;""),H48+(1000-ROW())/10000,"")</f>
        <v/>
      </c>
    </row>
    <row r="49">
      <c r="A49" s="24" t="str">
        <f>IF(B49="","",LEFT(B49,1)&amp;"-"&amp;TEXT(COUNTIF($B$5:B49,B49),"000"))</f>
        <v/>
      </c>
      <c r="B49" s="25" t="n"/>
      <c r="C49" s="25" t="n"/>
      <c r="D49" s="25" t="n"/>
      <c r="E49" s="25" t="n"/>
      <c r="F49" s="25" t="n"/>
      <c r="G49" s="25" t="n"/>
      <c r="H49" s="26" t="str">
        <f>IF(OR(F49="",G49=""),"",F49*G49)</f>
        <v/>
      </c>
      <c r="I49" s="24" t="str">
        <f>IF(H49="","",IF(H49&gt;=RedScore,"Red",IF(H49&gt;=AmberScore,"Amber","Green")))</f>
        <v/>
      </c>
      <c r="J49" s="25" t="n"/>
      <c r="K49" s="25" t="n"/>
      <c r="L49" s="25" t="n"/>
      <c r="M49" s="27" t="n"/>
      <c r="N49" s="25" t="n"/>
      <c r="O49" s="27" t="n"/>
      <c r="P49" s="27" t="n"/>
      <c r="Q49" s="28" t="str">
        <f>IF(AND(N49="Open",H49&lt;&gt;""),H49+(1000-ROW())/10000,"")</f>
        <v/>
      </c>
    </row>
    <row r="50">
      <c r="A50" s="24" t="str">
        <f>IF(B50="","",LEFT(B50,1)&amp;"-"&amp;TEXT(COUNTIF($B$5:B50,B50),"000"))</f>
        <v/>
      </c>
      <c r="B50" s="25" t="n"/>
      <c r="C50" s="25" t="n"/>
      <c r="D50" s="25" t="n"/>
      <c r="E50" s="25" t="n"/>
      <c r="F50" s="25" t="n"/>
      <c r="G50" s="25" t="n"/>
      <c r="H50" s="26" t="str">
        <f>IF(OR(F50="",G50=""),"",F50*G50)</f>
        <v/>
      </c>
      <c r="I50" s="24" t="str">
        <f>IF(H50="","",IF(H50&gt;=RedScore,"Red",IF(H50&gt;=AmberScore,"Amber","Green")))</f>
        <v/>
      </c>
      <c r="J50" s="25" t="n"/>
      <c r="K50" s="25" t="n"/>
      <c r="L50" s="25" t="n"/>
      <c r="M50" s="27" t="n"/>
      <c r="N50" s="25" t="n"/>
      <c r="O50" s="27" t="n"/>
      <c r="P50" s="27" t="n"/>
      <c r="Q50" s="28" t="str">
        <f>IF(AND(N50="Open",H50&lt;&gt;""),H50+(1000-ROW())/10000,"")</f>
        <v/>
      </c>
    </row>
    <row r="51">
      <c r="A51" s="24" t="str">
        <f>IF(B51="","",LEFT(B51,1)&amp;"-"&amp;TEXT(COUNTIF($B$5:B51,B51),"000"))</f>
        <v/>
      </c>
      <c r="B51" s="25" t="n"/>
      <c r="C51" s="25" t="n"/>
      <c r="D51" s="25" t="n"/>
      <c r="E51" s="25" t="n"/>
      <c r="F51" s="25" t="n"/>
      <c r="G51" s="25" t="n"/>
      <c r="H51" s="26" t="str">
        <f>IF(OR(F51="",G51=""),"",F51*G51)</f>
        <v/>
      </c>
      <c r="I51" s="24" t="str">
        <f>IF(H51="","",IF(H51&gt;=RedScore,"Red",IF(H51&gt;=AmberScore,"Amber","Green")))</f>
        <v/>
      </c>
      <c r="J51" s="25" t="n"/>
      <c r="K51" s="25" t="n"/>
      <c r="L51" s="25" t="n"/>
      <c r="M51" s="27" t="n"/>
      <c r="N51" s="25" t="n"/>
      <c r="O51" s="27" t="n"/>
      <c r="P51" s="27" t="n"/>
      <c r="Q51" s="28" t="str">
        <f>IF(AND(N51="Open",H51&lt;&gt;""),H51+(1000-ROW())/10000,"")</f>
        <v/>
      </c>
    </row>
    <row r="52">
      <c r="A52" s="24" t="str">
        <f>IF(B52="","",LEFT(B52,1)&amp;"-"&amp;TEXT(COUNTIF($B$5:B52,B52),"000"))</f>
        <v/>
      </c>
      <c r="B52" s="25" t="n"/>
      <c r="C52" s="25" t="n"/>
      <c r="D52" s="25" t="n"/>
      <c r="E52" s="25" t="n"/>
      <c r="F52" s="25" t="n"/>
      <c r="G52" s="25" t="n"/>
      <c r="H52" s="26" t="str">
        <f>IF(OR(F52="",G52=""),"",F52*G52)</f>
        <v/>
      </c>
      <c r="I52" s="24" t="str">
        <f>IF(H52="","",IF(H52&gt;=RedScore,"Red",IF(H52&gt;=AmberScore,"Amber","Green")))</f>
        <v/>
      </c>
      <c r="J52" s="25" t="n"/>
      <c r="K52" s="25" t="n"/>
      <c r="L52" s="25" t="n"/>
      <c r="M52" s="27" t="n"/>
      <c r="N52" s="25" t="n"/>
      <c r="O52" s="27" t="n"/>
      <c r="P52" s="27" t="n"/>
      <c r="Q52" s="28" t="str">
        <f>IF(AND(N52="Open",H52&lt;&gt;""),H52+(1000-ROW())/10000,"")</f>
        <v/>
      </c>
    </row>
    <row r="53">
      <c r="A53" s="24" t="str">
        <f>IF(B53="","",LEFT(B53,1)&amp;"-"&amp;TEXT(COUNTIF($B$5:B53,B53),"000"))</f>
        <v/>
      </c>
      <c r="B53" s="25" t="n"/>
      <c r="C53" s="25" t="n"/>
      <c r="D53" s="25" t="n"/>
      <c r="E53" s="25" t="n"/>
      <c r="F53" s="25" t="n"/>
      <c r="G53" s="25" t="n"/>
      <c r="H53" s="26" t="str">
        <f>IF(OR(F53="",G53=""),"",F53*G53)</f>
        <v/>
      </c>
      <c r="I53" s="24" t="str">
        <f>IF(H53="","",IF(H53&gt;=RedScore,"Red",IF(H53&gt;=AmberScore,"Amber","Green")))</f>
        <v/>
      </c>
      <c r="J53" s="25" t="n"/>
      <c r="K53" s="25" t="n"/>
      <c r="L53" s="25" t="n"/>
      <c r="M53" s="27" t="n"/>
      <c r="N53" s="25" t="n"/>
      <c r="O53" s="27" t="n"/>
      <c r="P53" s="27" t="n"/>
      <c r="Q53" s="28" t="str">
        <f>IF(AND(N53="Open",H53&lt;&gt;""),H53+(1000-ROW())/10000,"")</f>
        <v/>
      </c>
    </row>
    <row r="54">
      <c r="A54" s="24" t="str">
        <f>IF(B54="","",LEFT(B54,1)&amp;"-"&amp;TEXT(COUNTIF($B$5:B54,B54),"000"))</f>
        <v/>
      </c>
      <c r="B54" s="25" t="n"/>
      <c r="C54" s="25" t="n"/>
      <c r="D54" s="25" t="n"/>
      <c r="E54" s="25" t="n"/>
      <c r="F54" s="25" t="n"/>
      <c r="G54" s="25" t="n"/>
      <c r="H54" s="26" t="str">
        <f>IF(OR(F54="",G54=""),"",F54*G54)</f>
        <v/>
      </c>
      <c r="I54" s="24" t="str">
        <f>IF(H54="","",IF(H54&gt;=RedScore,"Red",IF(H54&gt;=AmberScore,"Amber","Green")))</f>
        <v/>
      </c>
      <c r="J54" s="25" t="n"/>
      <c r="K54" s="25" t="n"/>
      <c r="L54" s="25" t="n"/>
      <c r="M54" s="27" t="n"/>
      <c r="N54" s="25" t="n"/>
      <c r="O54" s="27" t="n"/>
      <c r="P54" s="27" t="n"/>
      <c r="Q54" s="28" t="str">
        <f>IF(AND(N54="Open",H54&lt;&gt;""),H54+(1000-ROW())/10000,"")</f>
        <v/>
      </c>
    </row>
    <row r="55">
      <c r="A55" s="24" t="str">
        <f>IF(B55="","",LEFT(B55,1)&amp;"-"&amp;TEXT(COUNTIF($B$5:B55,B55),"000"))</f>
        <v/>
      </c>
      <c r="B55" s="25" t="n"/>
      <c r="C55" s="25" t="n"/>
      <c r="D55" s="25" t="n"/>
      <c r="E55" s="25" t="n"/>
      <c r="F55" s="25" t="n"/>
      <c r="G55" s="25" t="n"/>
      <c r="H55" s="26" t="str">
        <f>IF(OR(F55="",G55=""),"",F55*G55)</f>
        <v/>
      </c>
      <c r="I55" s="24" t="str">
        <f>IF(H55="","",IF(H55&gt;=RedScore,"Red",IF(H55&gt;=AmberScore,"Amber","Green")))</f>
        <v/>
      </c>
      <c r="J55" s="25" t="n"/>
      <c r="K55" s="25" t="n"/>
      <c r="L55" s="25" t="n"/>
      <c r="M55" s="27" t="n"/>
      <c r="N55" s="25" t="n"/>
      <c r="O55" s="27" t="n"/>
      <c r="P55" s="27" t="n"/>
      <c r="Q55" s="28" t="str">
        <f>IF(AND(N55="Open",H55&lt;&gt;""),H55+(1000-ROW())/10000,"")</f>
        <v/>
      </c>
    </row>
    <row r="56">
      <c r="A56" s="24" t="str">
        <f>IF(B56="","",LEFT(B56,1)&amp;"-"&amp;TEXT(COUNTIF($B$5:B56,B56),"000"))</f>
        <v/>
      </c>
      <c r="B56" s="25" t="n"/>
      <c r="C56" s="25" t="n"/>
      <c r="D56" s="25" t="n"/>
      <c r="E56" s="25" t="n"/>
      <c r="F56" s="25" t="n"/>
      <c r="G56" s="25" t="n"/>
      <c r="H56" s="26" t="str">
        <f>IF(OR(F56="",G56=""),"",F56*G56)</f>
        <v/>
      </c>
      <c r="I56" s="24" t="str">
        <f>IF(H56="","",IF(H56&gt;=RedScore,"Red",IF(H56&gt;=AmberScore,"Amber","Green")))</f>
        <v/>
      </c>
      <c r="J56" s="25" t="n"/>
      <c r="K56" s="25" t="n"/>
      <c r="L56" s="25" t="n"/>
      <c r="M56" s="27" t="n"/>
      <c r="N56" s="25" t="n"/>
      <c r="O56" s="27" t="n"/>
      <c r="P56" s="27" t="n"/>
      <c r="Q56" s="28" t="str">
        <f>IF(AND(N56="Open",H56&lt;&gt;""),H56+(1000-ROW())/10000,"")</f>
        <v/>
      </c>
    </row>
    <row r="57">
      <c r="A57" s="24" t="str">
        <f>IF(B57="","",LEFT(B57,1)&amp;"-"&amp;TEXT(COUNTIF($B$5:B57,B57),"000"))</f>
        <v/>
      </c>
      <c r="B57" s="25" t="n"/>
      <c r="C57" s="25" t="n"/>
      <c r="D57" s="25" t="n"/>
      <c r="E57" s="25" t="n"/>
      <c r="F57" s="25" t="n"/>
      <c r="G57" s="25" t="n"/>
      <c r="H57" s="26" t="str">
        <f>IF(OR(F57="",G57=""),"",F57*G57)</f>
        <v/>
      </c>
      <c r="I57" s="24" t="str">
        <f>IF(H57="","",IF(H57&gt;=RedScore,"Red",IF(H57&gt;=AmberScore,"Amber","Green")))</f>
        <v/>
      </c>
      <c r="J57" s="25" t="n"/>
      <c r="K57" s="25" t="n"/>
      <c r="L57" s="25" t="n"/>
      <c r="M57" s="27" t="n"/>
      <c r="N57" s="25" t="n"/>
      <c r="O57" s="27" t="n"/>
      <c r="P57" s="27" t="n"/>
      <c r="Q57" s="28" t="str">
        <f>IF(AND(N57="Open",H57&lt;&gt;""),H57+(1000-ROW())/10000,"")</f>
        <v/>
      </c>
    </row>
    <row r="58">
      <c r="A58" s="24" t="str">
        <f>IF(B58="","",LEFT(B58,1)&amp;"-"&amp;TEXT(COUNTIF($B$5:B58,B58),"000"))</f>
        <v/>
      </c>
      <c r="B58" s="25" t="n"/>
      <c r="C58" s="25" t="n"/>
      <c r="D58" s="25" t="n"/>
      <c r="E58" s="25" t="n"/>
      <c r="F58" s="25" t="n"/>
      <c r="G58" s="25" t="n"/>
      <c r="H58" s="26" t="str">
        <f>IF(OR(F58="",G58=""),"",F58*G58)</f>
        <v/>
      </c>
      <c r="I58" s="24" t="str">
        <f>IF(H58="","",IF(H58&gt;=RedScore,"Red",IF(H58&gt;=AmberScore,"Amber","Green")))</f>
        <v/>
      </c>
      <c r="J58" s="25" t="n"/>
      <c r="K58" s="25" t="n"/>
      <c r="L58" s="25" t="n"/>
      <c r="M58" s="27" t="n"/>
      <c r="N58" s="25" t="n"/>
      <c r="O58" s="27" t="n"/>
      <c r="P58" s="27" t="n"/>
      <c r="Q58" s="28" t="str">
        <f>IF(AND(N58="Open",H58&lt;&gt;""),H58+(1000-ROW())/10000,"")</f>
        <v/>
      </c>
    </row>
    <row r="59">
      <c r="A59" s="24" t="str">
        <f>IF(B59="","",LEFT(B59,1)&amp;"-"&amp;TEXT(COUNTIF($B$5:B59,B59),"000"))</f>
        <v/>
      </c>
      <c r="B59" s="25" t="n"/>
      <c r="C59" s="25" t="n"/>
      <c r="D59" s="25" t="n"/>
      <c r="E59" s="25" t="n"/>
      <c r="F59" s="25" t="n"/>
      <c r="G59" s="25" t="n"/>
      <c r="H59" s="26" t="str">
        <f>IF(OR(F59="",G59=""),"",F59*G59)</f>
        <v/>
      </c>
      <c r="I59" s="24" t="str">
        <f>IF(H59="","",IF(H59&gt;=RedScore,"Red",IF(H59&gt;=AmberScore,"Amber","Green")))</f>
        <v/>
      </c>
      <c r="J59" s="25" t="n"/>
      <c r="K59" s="25" t="n"/>
      <c r="L59" s="25" t="n"/>
      <c r="M59" s="27" t="n"/>
      <c r="N59" s="25" t="n"/>
      <c r="O59" s="27" t="n"/>
      <c r="P59" s="27" t="n"/>
      <c r="Q59" s="28" t="str">
        <f>IF(AND(N59="Open",H59&lt;&gt;""),H59+(1000-ROW())/10000,"")</f>
        <v/>
      </c>
    </row>
    <row r="60">
      <c r="A60" s="24" t="str">
        <f>IF(B60="","",LEFT(B60,1)&amp;"-"&amp;TEXT(COUNTIF($B$5:B60,B60),"000"))</f>
        <v/>
      </c>
      <c r="B60" s="25" t="n"/>
      <c r="C60" s="25" t="n"/>
      <c r="D60" s="25" t="n"/>
      <c r="E60" s="25" t="n"/>
      <c r="F60" s="25" t="n"/>
      <c r="G60" s="25" t="n"/>
      <c r="H60" s="26" t="str">
        <f>IF(OR(F60="",G60=""),"",F60*G60)</f>
        <v/>
      </c>
      <c r="I60" s="24" t="str">
        <f>IF(H60="","",IF(H60&gt;=RedScore,"Red",IF(H60&gt;=AmberScore,"Amber","Green")))</f>
        <v/>
      </c>
      <c r="J60" s="25" t="n"/>
      <c r="K60" s="25" t="n"/>
      <c r="L60" s="25" t="n"/>
      <c r="M60" s="27" t="n"/>
      <c r="N60" s="25" t="n"/>
      <c r="O60" s="27" t="n"/>
      <c r="P60" s="27" t="n"/>
      <c r="Q60" s="28" t="str">
        <f>IF(AND(N60="Open",H60&lt;&gt;""),H60+(1000-ROW())/10000,"")</f>
        <v/>
      </c>
    </row>
    <row r="61">
      <c r="A61" s="24" t="str">
        <f>IF(B61="","",LEFT(B61,1)&amp;"-"&amp;TEXT(COUNTIF($B$5:B61,B61),"000"))</f>
        <v/>
      </c>
      <c r="B61" s="25" t="n"/>
      <c r="C61" s="25" t="n"/>
      <c r="D61" s="25" t="n"/>
      <c r="E61" s="25" t="n"/>
      <c r="F61" s="25" t="n"/>
      <c r="G61" s="25" t="n"/>
      <c r="H61" s="26" t="str">
        <f>IF(OR(F61="",G61=""),"",F61*G61)</f>
        <v/>
      </c>
      <c r="I61" s="24" t="str">
        <f>IF(H61="","",IF(H61&gt;=RedScore,"Red",IF(H61&gt;=AmberScore,"Amber","Green")))</f>
        <v/>
      </c>
      <c r="J61" s="25" t="n"/>
      <c r="K61" s="25" t="n"/>
      <c r="L61" s="25" t="n"/>
      <c r="M61" s="27" t="n"/>
      <c r="N61" s="25" t="n"/>
      <c r="O61" s="27" t="n"/>
      <c r="P61" s="27" t="n"/>
      <c r="Q61" s="28" t="str">
        <f>IF(AND(N61="Open",H61&lt;&gt;""),H61+(1000-ROW())/10000,"")</f>
        <v/>
      </c>
    </row>
    <row r="62">
      <c r="A62" s="24" t="str">
        <f>IF(B62="","",LEFT(B62,1)&amp;"-"&amp;TEXT(COUNTIF($B$5:B62,B62),"000"))</f>
        <v/>
      </c>
      <c r="B62" s="25" t="n"/>
      <c r="C62" s="25" t="n"/>
      <c r="D62" s="25" t="n"/>
      <c r="E62" s="25" t="n"/>
      <c r="F62" s="25" t="n"/>
      <c r="G62" s="25" t="n"/>
      <c r="H62" s="26" t="str">
        <f>IF(OR(F62="",G62=""),"",F62*G62)</f>
        <v/>
      </c>
      <c r="I62" s="24" t="str">
        <f>IF(H62="","",IF(H62&gt;=RedScore,"Red",IF(H62&gt;=AmberScore,"Amber","Green")))</f>
        <v/>
      </c>
      <c r="J62" s="25" t="n"/>
      <c r="K62" s="25" t="n"/>
      <c r="L62" s="25" t="n"/>
      <c r="M62" s="27" t="n"/>
      <c r="N62" s="25" t="n"/>
      <c r="O62" s="27" t="n"/>
      <c r="P62" s="27" t="n"/>
      <c r="Q62" s="28" t="str">
        <f>IF(AND(N62="Open",H62&lt;&gt;""),H62+(1000-ROW())/10000,"")</f>
        <v/>
      </c>
    </row>
    <row r="63">
      <c r="A63" s="24" t="str">
        <f>IF(B63="","",LEFT(B63,1)&amp;"-"&amp;TEXT(COUNTIF($B$5:B63,B63),"000"))</f>
        <v/>
      </c>
      <c r="B63" s="25" t="n"/>
      <c r="C63" s="25" t="n"/>
      <c r="D63" s="25" t="n"/>
      <c r="E63" s="25" t="n"/>
      <c r="F63" s="25" t="n"/>
      <c r="G63" s="25" t="n"/>
      <c r="H63" s="26" t="str">
        <f>IF(OR(F63="",G63=""),"",F63*G63)</f>
        <v/>
      </c>
      <c r="I63" s="24" t="str">
        <f>IF(H63="","",IF(H63&gt;=RedScore,"Red",IF(H63&gt;=AmberScore,"Amber","Green")))</f>
        <v/>
      </c>
      <c r="J63" s="25" t="n"/>
      <c r="K63" s="25" t="n"/>
      <c r="L63" s="25" t="n"/>
      <c r="M63" s="27" t="n"/>
      <c r="N63" s="25" t="n"/>
      <c r="O63" s="27" t="n"/>
      <c r="P63" s="27" t="n"/>
      <c r="Q63" s="28" t="str">
        <f>IF(AND(N63="Open",H63&lt;&gt;""),H63+(1000-ROW())/10000,"")</f>
        <v/>
      </c>
    </row>
    <row r="64">
      <c r="A64" s="24" t="str">
        <f>IF(B64="","",LEFT(B64,1)&amp;"-"&amp;TEXT(COUNTIF($B$5:B64,B64),"000"))</f>
        <v/>
      </c>
      <c r="B64" s="25" t="n"/>
      <c r="C64" s="25" t="n"/>
      <c r="D64" s="25" t="n"/>
      <c r="E64" s="25" t="n"/>
      <c r="F64" s="25" t="n"/>
      <c r="G64" s="25" t="n"/>
      <c r="H64" s="26" t="str">
        <f>IF(OR(F64="",G64=""),"",F64*G64)</f>
        <v/>
      </c>
      <c r="I64" s="24" t="str">
        <f>IF(H64="","",IF(H64&gt;=RedScore,"Red",IF(H64&gt;=AmberScore,"Amber","Green")))</f>
        <v/>
      </c>
      <c r="J64" s="25" t="n"/>
      <c r="K64" s="25" t="n"/>
      <c r="L64" s="25" t="n"/>
      <c r="M64" s="27" t="n"/>
      <c r="N64" s="25" t="n"/>
      <c r="O64" s="27" t="n"/>
      <c r="P64" s="27" t="n"/>
      <c r="Q64" s="28" t="str">
        <f>IF(AND(N64="Open",H64&lt;&gt;""),H64+(1000-ROW())/10000,"")</f>
        <v/>
      </c>
    </row>
    <row r="65">
      <c r="A65" s="24" t="str">
        <f>IF(B65="","",LEFT(B65,1)&amp;"-"&amp;TEXT(COUNTIF($B$5:B65,B65),"000"))</f>
        <v/>
      </c>
      <c r="B65" s="25" t="n"/>
      <c r="C65" s="25" t="n"/>
      <c r="D65" s="25" t="n"/>
      <c r="E65" s="25" t="n"/>
      <c r="F65" s="25" t="n"/>
      <c r="G65" s="25" t="n"/>
      <c r="H65" s="26" t="str">
        <f>IF(OR(F65="",G65=""),"",F65*G65)</f>
        <v/>
      </c>
      <c r="I65" s="24" t="str">
        <f>IF(H65="","",IF(H65&gt;=RedScore,"Red",IF(H65&gt;=AmberScore,"Amber","Green")))</f>
        <v/>
      </c>
      <c r="J65" s="25" t="n"/>
      <c r="K65" s="25" t="n"/>
      <c r="L65" s="25" t="n"/>
      <c r="M65" s="27" t="n"/>
      <c r="N65" s="25" t="n"/>
      <c r="O65" s="27" t="n"/>
      <c r="P65" s="27" t="n"/>
      <c r="Q65" s="28" t="str">
        <f>IF(AND(N65="Open",H65&lt;&gt;""),H65+(1000-ROW())/10000,"")</f>
        <v/>
      </c>
    </row>
    <row r="66">
      <c r="A66" s="24" t="str">
        <f>IF(B66="","",LEFT(B66,1)&amp;"-"&amp;TEXT(COUNTIF($B$5:B66,B66),"000"))</f>
        <v/>
      </c>
      <c r="B66" s="25" t="n"/>
      <c r="C66" s="25" t="n"/>
      <c r="D66" s="25" t="n"/>
      <c r="E66" s="25" t="n"/>
      <c r="F66" s="25" t="n"/>
      <c r="G66" s="25" t="n"/>
      <c r="H66" s="26" t="str">
        <f>IF(OR(F66="",G66=""),"",F66*G66)</f>
        <v/>
      </c>
      <c r="I66" s="24" t="str">
        <f>IF(H66="","",IF(H66&gt;=RedScore,"Red",IF(H66&gt;=AmberScore,"Amber","Green")))</f>
        <v/>
      </c>
      <c r="J66" s="25" t="n"/>
      <c r="K66" s="25" t="n"/>
      <c r="L66" s="25" t="n"/>
      <c r="M66" s="27" t="n"/>
      <c r="N66" s="25" t="n"/>
      <c r="O66" s="27" t="n"/>
      <c r="P66" s="27" t="n"/>
      <c r="Q66" s="28" t="str">
        <f>IF(AND(N66="Open",H66&lt;&gt;""),H66+(1000-ROW())/10000,"")</f>
        <v/>
      </c>
    </row>
    <row r="67">
      <c r="A67" s="24" t="str">
        <f>IF(B67="","",LEFT(B67,1)&amp;"-"&amp;TEXT(COUNTIF($B$5:B67,B67),"000"))</f>
        <v/>
      </c>
      <c r="B67" s="25" t="n"/>
      <c r="C67" s="25" t="n"/>
      <c r="D67" s="25" t="n"/>
      <c r="E67" s="25" t="n"/>
      <c r="F67" s="25" t="n"/>
      <c r="G67" s="25" t="n"/>
      <c r="H67" s="26" t="str">
        <f>IF(OR(F67="",G67=""),"",F67*G67)</f>
        <v/>
      </c>
      <c r="I67" s="24" t="str">
        <f>IF(H67="","",IF(H67&gt;=RedScore,"Red",IF(H67&gt;=AmberScore,"Amber","Green")))</f>
        <v/>
      </c>
      <c r="J67" s="25" t="n"/>
      <c r="K67" s="25" t="n"/>
      <c r="L67" s="25" t="n"/>
      <c r="M67" s="27" t="n"/>
      <c r="N67" s="25" t="n"/>
      <c r="O67" s="27" t="n"/>
      <c r="P67" s="27" t="n"/>
      <c r="Q67" s="28" t="str">
        <f>IF(AND(N67="Open",H67&lt;&gt;""),H67+(1000-ROW())/10000,"")</f>
        <v/>
      </c>
    </row>
    <row r="68">
      <c r="A68" s="24" t="str">
        <f>IF(B68="","",LEFT(B68,1)&amp;"-"&amp;TEXT(COUNTIF($B$5:B68,B68),"000"))</f>
        <v/>
      </c>
      <c r="B68" s="25" t="n"/>
      <c r="C68" s="25" t="n"/>
      <c r="D68" s="25" t="n"/>
      <c r="E68" s="25" t="n"/>
      <c r="F68" s="25" t="n"/>
      <c r="G68" s="25" t="n"/>
      <c r="H68" s="26" t="str">
        <f>IF(OR(F68="",G68=""),"",F68*G68)</f>
        <v/>
      </c>
      <c r="I68" s="24" t="str">
        <f>IF(H68="","",IF(H68&gt;=RedScore,"Red",IF(H68&gt;=AmberScore,"Amber","Green")))</f>
        <v/>
      </c>
      <c r="J68" s="25" t="n"/>
      <c r="K68" s="25" t="n"/>
      <c r="L68" s="25" t="n"/>
      <c r="M68" s="27" t="n"/>
      <c r="N68" s="25" t="n"/>
      <c r="O68" s="27" t="n"/>
      <c r="P68" s="27" t="n"/>
      <c r="Q68" s="28" t="str">
        <f>IF(AND(N68="Open",H68&lt;&gt;""),H68+(1000-ROW())/10000,"")</f>
        <v/>
      </c>
    </row>
    <row r="69">
      <c r="A69" s="24" t="str">
        <f>IF(B69="","",LEFT(B69,1)&amp;"-"&amp;TEXT(COUNTIF($B$5:B69,B69),"000"))</f>
        <v/>
      </c>
      <c r="B69" s="25" t="n"/>
      <c r="C69" s="25" t="n"/>
      <c r="D69" s="25" t="n"/>
      <c r="E69" s="25" t="n"/>
      <c r="F69" s="25" t="n"/>
      <c r="G69" s="25" t="n"/>
      <c r="H69" s="26" t="str">
        <f>IF(OR(F69="",G69=""),"",F69*G69)</f>
        <v/>
      </c>
      <c r="I69" s="24" t="str">
        <f>IF(H69="","",IF(H69&gt;=RedScore,"Red",IF(H69&gt;=AmberScore,"Amber","Green")))</f>
        <v/>
      </c>
      <c r="J69" s="25" t="n"/>
      <c r="K69" s="25" t="n"/>
      <c r="L69" s="25" t="n"/>
      <c r="M69" s="27" t="n"/>
      <c r="N69" s="25" t="n"/>
      <c r="O69" s="27" t="n"/>
      <c r="P69" s="27" t="n"/>
      <c r="Q69" s="28" t="str">
        <f>IF(AND(N69="Open",H69&lt;&gt;""),H69+(1000-ROW())/10000,"")</f>
        <v/>
      </c>
    </row>
    <row r="70">
      <c r="A70" s="24" t="str">
        <f>IF(B70="","",LEFT(B70,1)&amp;"-"&amp;TEXT(COUNTIF($B$5:B70,B70),"000"))</f>
        <v/>
      </c>
      <c r="B70" s="25" t="n"/>
      <c r="C70" s="25" t="n"/>
      <c r="D70" s="25" t="n"/>
      <c r="E70" s="25" t="n"/>
      <c r="F70" s="25" t="n"/>
      <c r="G70" s="25" t="n"/>
      <c r="H70" s="26" t="str">
        <f>IF(OR(F70="",G70=""),"",F70*G70)</f>
        <v/>
      </c>
      <c r="I70" s="24" t="str">
        <f>IF(H70="","",IF(H70&gt;=RedScore,"Red",IF(H70&gt;=AmberScore,"Amber","Green")))</f>
        <v/>
      </c>
      <c r="J70" s="25" t="n"/>
      <c r="K70" s="25" t="n"/>
      <c r="L70" s="25" t="n"/>
      <c r="M70" s="27" t="n"/>
      <c r="N70" s="25" t="n"/>
      <c r="O70" s="27" t="n"/>
      <c r="P70" s="27" t="n"/>
      <c r="Q70" s="28" t="str">
        <f>IF(AND(N70="Open",H70&lt;&gt;""),H70+(1000-ROW())/10000,"")</f>
        <v/>
      </c>
    </row>
    <row r="71">
      <c r="A71" s="24" t="str">
        <f>IF(B71="","",LEFT(B71,1)&amp;"-"&amp;TEXT(COUNTIF($B$5:B71,B71),"000"))</f>
        <v/>
      </c>
      <c r="B71" s="25" t="n"/>
      <c r="C71" s="25" t="n"/>
      <c r="D71" s="25" t="n"/>
      <c r="E71" s="25" t="n"/>
      <c r="F71" s="25" t="n"/>
      <c r="G71" s="25" t="n"/>
      <c r="H71" s="26" t="str">
        <f>IF(OR(F71="",G71=""),"",F71*G71)</f>
        <v/>
      </c>
      <c r="I71" s="24" t="str">
        <f>IF(H71="","",IF(H71&gt;=RedScore,"Red",IF(H71&gt;=AmberScore,"Amber","Green")))</f>
        <v/>
      </c>
      <c r="J71" s="25" t="n"/>
      <c r="K71" s="25" t="n"/>
      <c r="L71" s="25" t="n"/>
      <c r="M71" s="27" t="n"/>
      <c r="N71" s="25" t="n"/>
      <c r="O71" s="27" t="n"/>
      <c r="P71" s="27" t="n"/>
      <c r="Q71" s="28" t="str">
        <f>IF(AND(N71="Open",H71&lt;&gt;""),H71+(1000-ROW())/10000,"")</f>
        <v/>
      </c>
    </row>
    <row r="72">
      <c r="A72" s="24" t="str">
        <f>IF(B72="","",LEFT(B72,1)&amp;"-"&amp;TEXT(COUNTIF($B$5:B72,B72),"000"))</f>
        <v/>
      </c>
      <c r="B72" s="25" t="n"/>
      <c r="C72" s="25" t="n"/>
      <c r="D72" s="25" t="n"/>
      <c r="E72" s="25" t="n"/>
      <c r="F72" s="25" t="n"/>
      <c r="G72" s="25" t="n"/>
      <c r="H72" s="26" t="str">
        <f>IF(OR(F72="",G72=""),"",F72*G72)</f>
        <v/>
      </c>
      <c r="I72" s="24" t="str">
        <f>IF(H72="","",IF(H72&gt;=RedScore,"Red",IF(H72&gt;=AmberScore,"Amber","Green")))</f>
        <v/>
      </c>
      <c r="J72" s="25" t="n"/>
      <c r="K72" s="25" t="n"/>
      <c r="L72" s="25" t="n"/>
      <c r="M72" s="27" t="n"/>
      <c r="N72" s="25" t="n"/>
      <c r="O72" s="27" t="n"/>
      <c r="P72" s="27" t="n"/>
      <c r="Q72" s="28" t="str">
        <f>IF(AND(N72="Open",H72&lt;&gt;""),H72+(1000-ROW())/10000,"")</f>
        <v/>
      </c>
    </row>
    <row r="73">
      <c r="A73" s="24" t="str">
        <f>IF(B73="","",LEFT(B73,1)&amp;"-"&amp;TEXT(COUNTIF($B$5:B73,B73),"000"))</f>
        <v/>
      </c>
      <c r="B73" s="25" t="n"/>
      <c r="C73" s="25" t="n"/>
      <c r="D73" s="25" t="n"/>
      <c r="E73" s="25" t="n"/>
      <c r="F73" s="25" t="n"/>
      <c r="G73" s="25" t="n"/>
      <c r="H73" s="26" t="str">
        <f>IF(OR(F73="",G73=""),"",F73*G73)</f>
        <v/>
      </c>
      <c r="I73" s="24" t="str">
        <f>IF(H73="","",IF(H73&gt;=RedScore,"Red",IF(H73&gt;=AmberScore,"Amber","Green")))</f>
        <v/>
      </c>
      <c r="J73" s="25" t="n"/>
      <c r="K73" s="25" t="n"/>
      <c r="L73" s="25" t="n"/>
      <c r="M73" s="27" t="n"/>
      <c r="N73" s="25" t="n"/>
      <c r="O73" s="27" t="n"/>
      <c r="P73" s="27" t="n"/>
      <c r="Q73" s="28" t="str">
        <f>IF(AND(N73="Open",H73&lt;&gt;""),H73+(1000-ROW())/10000,"")</f>
        <v/>
      </c>
    </row>
    <row r="74">
      <c r="A74" s="24" t="str">
        <f>IF(B74="","",LEFT(B74,1)&amp;"-"&amp;TEXT(COUNTIF($B$5:B74,B74),"000"))</f>
        <v/>
      </c>
      <c r="B74" s="25" t="n"/>
      <c r="C74" s="25" t="n"/>
      <c r="D74" s="25" t="n"/>
      <c r="E74" s="25" t="n"/>
      <c r="F74" s="25" t="n"/>
      <c r="G74" s="25" t="n"/>
      <c r="H74" s="26" t="str">
        <f>IF(OR(F74="",G74=""),"",F74*G74)</f>
        <v/>
      </c>
      <c r="I74" s="24" t="str">
        <f>IF(H74="","",IF(H74&gt;=RedScore,"Red",IF(H74&gt;=AmberScore,"Amber","Green")))</f>
        <v/>
      </c>
      <c r="J74" s="25" t="n"/>
      <c r="K74" s="25" t="n"/>
      <c r="L74" s="25" t="n"/>
      <c r="M74" s="27" t="n"/>
      <c r="N74" s="25" t="n"/>
      <c r="O74" s="27" t="n"/>
      <c r="P74" s="27" t="n"/>
      <c r="Q74" s="28" t="str">
        <f>IF(AND(N74="Open",H74&lt;&gt;""),H74+(1000-ROW())/10000,"")</f>
        <v/>
      </c>
    </row>
    <row r="75">
      <c r="A75" s="24" t="str">
        <f>IF(B75="","",LEFT(B75,1)&amp;"-"&amp;TEXT(COUNTIF($B$5:B75,B75),"000"))</f>
        <v/>
      </c>
      <c r="B75" s="25" t="n"/>
      <c r="C75" s="25" t="n"/>
      <c r="D75" s="25" t="n"/>
      <c r="E75" s="25" t="n"/>
      <c r="F75" s="25" t="n"/>
      <c r="G75" s="25" t="n"/>
      <c r="H75" s="26" t="str">
        <f>IF(OR(F75="",G75=""),"",F75*G75)</f>
        <v/>
      </c>
      <c r="I75" s="24" t="str">
        <f>IF(H75="","",IF(H75&gt;=RedScore,"Red",IF(H75&gt;=AmberScore,"Amber","Green")))</f>
        <v/>
      </c>
      <c r="J75" s="25" t="n"/>
      <c r="K75" s="25" t="n"/>
      <c r="L75" s="25" t="n"/>
      <c r="M75" s="27" t="n"/>
      <c r="N75" s="25" t="n"/>
      <c r="O75" s="27" t="n"/>
      <c r="P75" s="27" t="n"/>
      <c r="Q75" s="28" t="str">
        <f>IF(AND(N75="Open",H75&lt;&gt;""),H75+(1000-ROW())/10000,"")</f>
        <v/>
      </c>
    </row>
    <row r="76">
      <c r="A76" s="24" t="str">
        <f>IF(B76="","",LEFT(B76,1)&amp;"-"&amp;TEXT(COUNTIF($B$5:B76,B76),"000"))</f>
        <v/>
      </c>
      <c r="B76" s="25" t="n"/>
      <c r="C76" s="25" t="n"/>
      <c r="D76" s="25" t="n"/>
      <c r="E76" s="25" t="n"/>
      <c r="F76" s="25" t="n"/>
      <c r="G76" s="25" t="n"/>
      <c r="H76" s="26" t="str">
        <f>IF(OR(F76="",G76=""),"",F76*G76)</f>
        <v/>
      </c>
      <c r="I76" s="24" t="str">
        <f>IF(H76="","",IF(H76&gt;=RedScore,"Red",IF(H76&gt;=AmberScore,"Amber","Green")))</f>
        <v/>
      </c>
      <c r="J76" s="25" t="n"/>
      <c r="K76" s="25" t="n"/>
      <c r="L76" s="25" t="n"/>
      <c r="M76" s="27" t="n"/>
      <c r="N76" s="25" t="n"/>
      <c r="O76" s="27" t="n"/>
      <c r="P76" s="27" t="n"/>
      <c r="Q76" s="28" t="str">
        <f>IF(AND(N76="Open",H76&lt;&gt;""),H76+(1000-ROW())/10000,"")</f>
        <v/>
      </c>
    </row>
    <row r="77">
      <c r="A77" s="24" t="str">
        <f>IF(B77="","",LEFT(B77,1)&amp;"-"&amp;TEXT(COUNTIF($B$5:B77,B77),"000"))</f>
        <v/>
      </c>
      <c r="B77" s="25" t="n"/>
      <c r="C77" s="25" t="n"/>
      <c r="D77" s="25" t="n"/>
      <c r="E77" s="25" t="n"/>
      <c r="F77" s="25" t="n"/>
      <c r="G77" s="25" t="n"/>
      <c r="H77" s="26" t="str">
        <f>IF(OR(F77="",G77=""),"",F77*G77)</f>
        <v/>
      </c>
      <c r="I77" s="24" t="str">
        <f>IF(H77="","",IF(H77&gt;=RedScore,"Red",IF(H77&gt;=AmberScore,"Amber","Green")))</f>
        <v/>
      </c>
      <c r="J77" s="25" t="n"/>
      <c r="K77" s="25" t="n"/>
      <c r="L77" s="25" t="n"/>
      <c r="M77" s="27" t="n"/>
      <c r="N77" s="25" t="n"/>
      <c r="O77" s="27" t="n"/>
      <c r="P77" s="27" t="n"/>
      <c r="Q77" s="28" t="str">
        <f>IF(AND(N77="Open",H77&lt;&gt;""),H77+(1000-ROW())/10000,"")</f>
        <v/>
      </c>
    </row>
    <row r="78">
      <c r="A78" s="24" t="str">
        <f>IF(B78="","",LEFT(B78,1)&amp;"-"&amp;TEXT(COUNTIF($B$5:B78,B78),"000"))</f>
        <v/>
      </c>
      <c r="B78" s="25" t="n"/>
      <c r="C78" s="25" t="n"/>
      <c r="D78" s="25" t="n"/>
      <c r="E78" s="25" t="n"/>
      <c r="F78" s="25" t="n"/>
      <c r="G78" s="25" t="n"/>
      <c r="H78" s="26" t="str">
        <f>IF(OR(F78="",G78=""),"",F78*G78)</f>
        <v/>
      </c>
      <c r="I78" s="24" t="str">
        <f>IF(H78="","",IF(H78&gt;=RedScore,"Red",IF(H78&gt;=AmberScore,"Amber","Green")))</f>
        <v/>
      </c>
      <c r="J78" s="25" t="n"/>
      <c r="K78" s="25" t="n"/>
      <c r="L78" s="25" t="n"/>
      <c r="M78" s="27" t="n"/>
      <c r="N78" s="25" t="n"/>
      <c r="O78" s="27" t="n"/>
      <c r="P78" s="27" t="n"/>
      <c r="Q78" s="28" t="str">
        <f>IF(AND(N78="Open",H78&lt;&gt;""),H78+(1000-ROW())/10000,"")</f>
        <v/>
      </c>
    </row>
    <row r="79">
      <c r="A79" s="24" t="str">
        <f>IF(B79="","",LEFT(B79,1)&amp;"-"&amp;TEXT(COUNTIF($B$5:B79,B79),"000"))</f>
        <v/>
      </c>
      <c r="B79" s="25" t="n"/>
      <c r="C79" s="25" t="n"/>
      <c r="D79" s="25" t="n"/>
      <c r="E79" s="25" t="n"/>
      <c r="F79" s="25" t="n"/>
      <c r="G79" s="25" t="n"/>
      <c r="H79" s="26" t="str">
        <f>IF(OR(F79="",G79=""),"",F79*G79)</f>
        <v/>
      </c>
      <c r="I79" s="24" t="str">
        <f>IF(H79="","",IF(H79&gt;=RedScore,"Red",IF(H79&gt;=AmberScore,"Amber","Green")))</f>
        <v/>
      </c>
      <c r="J79" s="25" t="n"/>
      <c r="K79" s="25" t="n"/>
      <c r="L79" s="25" t="n"/>
      <c r="M79" s="27" t="n"/>
      <c r="N79" s="25" t="n"/>
      <c r="O79" s="27" t="n"/>
      <c r="P79" s="27" t="n"/>
      <c r="Q79" s="28" t="str">
        <f>IF(AND(N79="Open",H79&lt;&gt;""),H79+(1000-ROW())/10000,"")</f>
        <v/>
      </c>
    </row>
    <row r="80">
      <c r="A80" s="24" t="str">
        <f>IF(B80="","",LEFT(B80,1)&amp;"-"&amp;TEXT(COUNTIF($B$5:B80,B80),"000"))</f>
        <v/>
      </c>
      <c r="B80" s="25" t="n"/>
      <c r="C80" s="25" t="n"/>
      <c r="D80" s="25" t="n"/>
      <c r="E80" s="25" t="n"/>
      <c r="F80" s="25" t="n"/>
      <c r="G80" s="25" t="n"/>
      <c r="H80" s="26" t="str">
        <f>IF(OR(F80="",G80=""),"",F80*G80)</f>
        <v/>
      </c>
      <c r="I80" s="24" t="str">
        <f>IF(H80="","",IF(H80&gt;=RedScore,"Red",IF(H80&gt;=AmberScore,"Amber","Green")))</f>
        <v/>
      </c>
      <c r="J80" s="25" t="n"/>
      <c r="K80" s="25" t="n"/>
      <c r="L80" s="25" t="n"/>
      <c r="M80" s="27" t="n"/>
      <c r="N80" s="25" t="n"/>
      <c r="O80" s="27" t="n"/>
      <c r="P80" s="27" t="n"/>
      <c r="Q80" s="28" t="str">
        <f>IF(AND(N80="Open",H80&lt;&gt;""),H80+(1000-ROW())/10000,"")</f>
        <v/>
      </c>
    </row>
    <row r="81">
      <c r="A81" s="24" t="str">
        <f>IF(B81="","",LEFT(B81,1)&amp;"-"&amp;TEXT(COUNTIF($B$5:B81,B81),"000"))</f>
        <v/>
      </c>
      <c r="B81" s="25" t="n"/>
      <c r="C81" s="25" t="n"/>
      <c r="D81" s="25" t="n"/>
      <c r="E81" s="25" t="n"/>
      <c r="F81" s="25" t="n"/>
      <c r="G81" s="25" t="n"/>
      <c r="H81" s="26" t="str">
        <f>IF(OR(F81="",G81=""),"",F81*G81)</f>
        <v/>
      </c>
      <c r="I81" s="24" t="str">
        <f>IF(H81="","",IF(H81&gt;=RedScore,"Red",IF(H81&gt;=AmberScore,"Amber","Green")))</f>
        <v/>
      </c>
      <c r="J81" s="25" t="n"/>
      <c r="K81" s="25" t="n"/>
      <c r="L81" s="25" t="n"/>
      <c r="M81" s="27" t="n"/>
      <c r="N81" s="25" t="n"/>
      <c r="O81" s="27" t="n"/>
      <c r="P81" s="27" t="n"/>
      <c r="Q81" s="28" t="str">
        <f>IF(AND(N81="Open",H81&lt;&gt;""),H81+(1000-ROW())/10000,"")</f>
        <v/>
      </c>
    </row>
    <row r="82">
      <c r="A82" s="24" t="str">
        <f>IF(B82="","",LEFT(B82,1)&amp;"-"&amp;TEXT(COUNTIF($B$5:B82,B82),"000"))</f>
        <v/>
      </c>
      <c r="B82" s="25" t="n"/>
      <c r="C82" s="25" t="n"/>
      <c r="D82" s="25" t="n"/>
      <c r="E82" s="25" t="n"/>
      <c r="F82" s="25" t="n"/>
      <c r="G82" s="25" t="n"/>
      <c r="H82" s="26" t="str">
        <f>IF(OR(F82="",G82=""),"",F82*G82)</f>
        <v/>
      </c>
      <c r="I82" s="24" t="str">
        <f>IF(H82="","",IF(H82&gt;=RedScore,"Red",IF(H82&gt;=AmberScore,"Amber","Green")))</f>
        <v/>
      </c>
      <c r="J82" s="25" t="n"/>
      <c r="K82" s="25" t="n"/>
      <c r="L82" s="25" t="n"/>
      <c r="M82" s="27" t="n"/>
      <c r="N82" s="25" t="n"/>
      <c r="O82" s="27" t="n"/>
      <c r="P82" s="27" t="n"/>
      <c r="Q82" s="28" t="str">
        <f>IF(AND(N82="Open",H82&lt;&gt;""),H82+(1000-ROW())/10000,"")</f>
        <v/>
      </c>
    </row>
    <row r="83">
      <c r="A83" s="24" t="str">
        <f>IF(B83="","",LEFT(B83,1)&amp;"-"&amp;TEXT(COUNTIF($B$5:B83,B83),"000"))</f>
        <v/>
      </c>
      <c r="B83" s="25" t="n"/>
      <c r="C83" s="25" t="n"/>
      <c r="D83" s="25" t="n"/>
      <c r="E83" s="25" t="n"/>
      <c r="F83" s="25" t="n"/>
      <c r="G83" s="25" t="n"/>
      <c r="H83" s="26" t="str">
        <f>IF(OR(F83="",G83=""),"",F83*G83)</f>
        <v/>
      </c>
      <c r="I83" s="24" t="str">
        <f>IF(H83="","",IF(H83&gt;=RedScore,"Red",IF(H83&gt;=AmberScore,"Amber","Green")))</f>
        <v/>
      </c>
      <c r="J83" s="25" t="n"/>
      <c r="K83" s="25" t="n"/>
      <c r="L83" s="25" t="n"/>
      <c r="M83" s="27" t="n"/>
      <c r="N83" s="25" t="n"/>
      <c r="O83" s="27" t="n"/>
      <c r="P83" s="27" t="n"/>
      <c r="Q83" s="28" t="str">
        <f>IF(AND(N83="Open",H83&lt;&gt;""),H83+(1000-ROW())/10000,"")</f>
        <v/>
      </c>
    </row>
    <row r="84">
      <c r="A84" s="24" t="str">
        <f>IF(B84="","",LEFT(B84,1)&amp;"-"&amp;TEXT(COUNTIF($B$5:B84,B84),"000"))</f>
        <v/>
      </c>
      <c r="B84" s="25" t="n"/>
      <c r="C84" s="25" t="n"/>
      <c r="D84" s="25" t="n"/>
      <c r="E84" s="25" t="n"/>
      <c r="F84" s="25" t="n"/>
      <c r="G84" s="25" t="n"/>
      <c r="H84" s="26" t="str">
        <f>IF(OR(F84="",G84=""),"",F84*G84)</f>
        <v/>
      </c>
      <c r="I84" s="24" t="str">
        <f>IF(H84="","",IF(H84&gt;=RedScore,"Red",IF(H84&gt;=AmberScore,"Amber","Green")))</f>
        <v/>
      </c>
      <c r="J84" s="25" t="n"/>
      <c r="K84" s="25" t="n"/>
      <c r="L84" s="25" t="n"/>
      <c r="M84" s="27" t="n"/>
      <c r="N84" s="25" t="n"/>
      <c r="O84" s="27" t="n"/>
      <c r="P84" s="27" t="n"/>
      <c r="Q84" s="28" t="str">
        <f>IF(AND(N84="Open",H84&lt;&gt;""),H84+(1000-ROW())/10000,"")</f>
        <v/>
      </c>
    </row>
    <row r="85">
      <c r="A85" s="24" t="str">
        <f>IF(B85="","",LEFT(B85,1)&amp;"-"&amp;TEXT(COUNTIF($B$5:B85,B85),"000"))</f>
        <v/>
      </c>
      <c r="B85" s="25" t="n"/>
      <c r="C85" s="25" t="n"/>
      <c r="D85" s="25" t="n"/>
      <c r="E85" s="25" t="n"/>
      <c r="F85" s="25" t="n"/>
      <c r="G85" s="25" t="n"/>
      <c r="H85" s="26" t="str">
        <f>IF(OR(F85="",G85=""),"",F85*G85)</f>
        <v/>
      </c>
      <c r="I85" s="24" t="str">
        <f>IF(H85="","",IF(H85&gt;=RedScore,"Red",IF(H85&gt;=AmberScore,"Amber","Green")))</f>
        <v/>
      </c>
      <c r="J85" s="25" t="n"/>
      <c r="K85" s="25" t="n"/>
      <c r="L85" s="25" t="n"/>
      <c r="M85" s="27" t="n"/>
      <c r="N85" s="25" t="n"/>
      <c r="O85" s="27" t="n"/>
      <c r="P85" s="27" t="n"/>
      <c r="Q85" s="28" t="str">
        <f>IF(AND(N85="Open",H85&lt;&gt;""),H85+(1000-ROW())/10000,"")</f>
        <v/>
      </c>
    </row>
    <row r="86">
      <c r="A86" s="24" t="str">
        <f>IF(B86="","",LEFT(B86,1)&amp;"-"&amp;TEXT(COUNTIF($B$5:B86,B86),"000"))</f>
        <v/>
      </c>
      <c r="B86" s="25" t="n"/>
      <c r="C86" s="25" t="n"/>
      <c r="D86" s="25" t="n"/>
      <c r="E86" s="25" t="n"/>
      <c r="F86" s="25" t="n"/>
      <c r="G86" s="25" t="n"/>
      <c r="H86" s="26" t="str">
        <f>IF(OR(F86="",G86=""),"",F86*G86)</f>
        <v/>
      </c>
      <c r="I86" s="24" t="str">
        <f>IF(H86="","",IF(H86&gt;=RedScore,"Red",IF(H86&gt;=AmberScore,"Amber","Green")))</f>
        <v/>
      </c>
      <c r="J86" s="25" t="n"/>
      <c r="K86" s="25" t="n"/>
      <c r="L86" s="25" t="n"/>
      <c r="M86" s="27" t="n"/>
      <c r="N86" s="25" t="n"/>
      <c r="O86" s="27" t="n"/>
      <c r="P86" s="27" t="n"/>
      <c r="Q86" s="28" t="str">
        <f>IF(AND(N86="Open",H86&lt;&gt;""),H86+(1000-ROW())/10000,"")</f>
        <v/>
      </c>
    </row>
    <row r="87">
      <c r="A87" s="24" t="str">
        <f>IF(B87="","",LEFT(B87,1)&amp;"-"&amp;TEXT(COUNTIF($B$5:B87,B87),"000"))</f>
        <v/>
      </c>
      <c r="B87" s="25" t="n"/>
      <c r="C87" s="25" t="n"/>
      <c r="D87" s="25" t="n"/>
      <c r="E87" s="25" t="n"/>
      <c r="F87" s="25" t="n"/>
      <c r="G87" s="25" t="n"/>
      <c r="H87" s="26" t="str">
        <f>IF(OR(F87="",G87=""),"",F87*G87)</f>
        <v/>
      </c>
      <c r="I87" s="24" t="str">
        <f>IF(H87="","",IF(H87&gt;=RedScore,"Red",IF(H87&gt;=AmberScore,"Amber","Green")))</f>
        <v/>
      </c>
      <c r="J87" s="25" t="n"/>
      <c r="K87" s="25" t="n"/>
      <c r="L87" s="25" t="n"/>
      <c r="M87" s="27" t="n"/>
      <c r="N87" s="25" t="n"/>
      <c r="O87" s="27" t="n"/>
      <c r="P87" s="27" t="n"/>
      <c r="Q87" s="28" t="str">
        <f>IF(AND(N87="Open",H87&lt;&gt;""),H87+(1000-ROW())/10000,"")</f>
        <v/>
      </c>
    </row>
    <row r="88">
      <c r="A88" s="24" t="str">
        <f>IF(B88="","",LEFT(B88,1)&amp;"-"&amp;TEXT(COUNTIF($B$5:B88,B88),"000"))</f>
        <v/>
      </c>
      <c r="B88" s="25" t="n"/>
      <c r="C88" s="25" t="n"/>
      <c r="D88" s="25" t="n"/>
      <c r="E88" s="25" t="n"/>
      <c r="F88" s="25" t="n"/>
      <c r="G88" s="25" t="n"/>
      <c r="H88" s="26" t="str">
        <f>IF(OR(F88="",G88=""),"",F88*G88)</f>
        <v/>
      </c>
      <c r="I88" s="24" t="str">
        <f>IF(H88="","",IF(H88&gt;=RedScore,"Red",IF(H88&gt;=AmberScore,"Amber","Green")))</f>
        <v/>
      </c>
      <c r="J88" s="25" t="n"/>
      <c r="K88" s="25" t="n"/>
      <c r="L88" s="25" t="n"/>
      <c r="M88" s="27" t="n"/>
      <c r="N88" s="25" t="n"/>
      <c r="O88" s="27" t="n"/>
      <c r="P88" s="27" t="n"/>
      <c r="Q88" s="28" t="str">
        <f>IF(AND(N88="Open",H88&lt;&gt;""),H88+(1000-ROW())/10000,"")</f>
        <v/>
      </c>
    </row>
    <row r="89">
      <c r="A89" s="24" t="str">
        <f>IF(B89="","",LEFT(B89,1)&amp;"-"&amp;TEXT(COUNTIF($B$5:B89,B89),"000"))</f>
        <v/>
      </c>
      <c r="B89" s="25" t="n"/>
      <c r="C89" s="25" t="n"/>
      <c r="D89" s="25" t="n"/>
      <c r="E89" s="25" t="n"/>
      <c r="F89" s="25" t="n"/>
      <c r="G89" s="25" t="n"/>
      <c r="H89" s="26" t="str">
        <f>IF(OR(F89="",G89=""),"",F89*G89)</f>
        <v/>
      </c>
      <c r="I89" s="24" t="str">
        <f>IF(H89="","",IF(H89&gt;=RedScore,"Red",IF(H89&gt;=AmberScore,"Amber","Green")))</f>
        <v/>
      </c>
      <c r="J89" s="25" t="n"/>
      <c r="K89" s="25" t="n"/>
      <c r="L89" s="25" t="n"/>
      <c r="M89" s="27" t="n"/>
      <c r="N89" s="25" t="n"/>
      <c r="O89" s="27" t="n"/>
      <c r="P89" s="27" t="n"/>
      <c r="Q89" s="28" t="str">
        <f>IF(AND(N89="Open",H89&lt;&gt;""),H89+(1000-ROW())/10000,"")</f>
        <v/>
      </c>
    </row>
    <row r="90">
      <c r="A90" s="24" t="str">
        <f>IF(B90="","",LEFT(B90,1)&amp;"-"&amp;TEXT(COUNTIF($B$5:B90,B90),"000"))</f>
        <v/>
      </c>
      <c r="B90" s="25" t="n"/>
      <c r="C90" s="25" t="n"/>
      <c r="D90" s="25" t="n"/>
      <c r="E90" s="25" t="n"/>
      <c r="F90" s="25" t="n"/>
      <c r="G90" s="25" t="n"/>
      <c r="H90" s="26" t="str">
        <f>IF(OR(F90="",G90=""),"",F90*G90)</f>
        <v/>
      </c>
      <c r="I90" s="24" t="str">
        <f>IF(H90="","",IF(H90&gt;=RedScore,"Red",IF(H90&gt;=AmberScore,"Amber","Green")))</f>
        <v/>
      </c>
      <c r="J90" s="25" t="n"/>
      <c r="K90" s="25" t="n"/>
      <c r="L90" s="25" t="n"/>
      <c r="M90" s="27" t="n"/>
      <c r="N90" s="25" t="n"/>
      <c r="O90" s="27" t="n"/>
      <c r="P90" s="27" t="n"/>
      <c r="Q90" s="28" t="str">
        <f>IF(AND(N90="Open",H90&lt;&gt;""),H90+(1000-ROW())/10000,"")</f>
        <v/>
      </c>
    </row>
    <row r="91">
      <c r="A91" s="24" t="str">
        <f>IF(B91="","",LEFT(B91,1)&amp;"-"&amp;TEXT(COUNTIF($B$5:B91,B91),"000"))</f>
        <v/>
      </c>
      <c r="B91" s="25" t="n"/>
      <c r="C91" s="25" t="n"/>
      <c r="D91" s="25" t="n"/>
      <c r="E91" s="25" t="n"/>
      <c r="F91" s="25" t="n"/>
      <c r="G91" s="25" t="n"/>
      <c r="H91" s="26" t="str">
        <f>IF(OR(F91="",G91=""),"",F91*G91)</f>
        <v/>
      </c>
      <c r="I91" s="24" t="str">
        <f>IF(H91="","",IF(H91&gt;=RedScore,"Red",IF(H91&gt;=AmberScore,"Amber","Green")))</f>
        <v/>
      </c>
      <c r="J91" s="25" t="n"/>
      <c r="K91" s="25" t="n"/>
      <c r="L91" s="25" t="n"/>
      <c r="M91" s="27" t="n"/>
      <c r="N91" s="25" t="n"/>
      <c r="O91" s="27" t="n"/>
      <c r="P91" s="27" t="n"/>
      <c r="Q91" s="28" t="str">
        <f>IF(AND(N91="Open",H91&lt;&gt;""),H91+(1000-ROW())/10000,"")</f>
        <v/>
      </c>
    </row>
    <row r="92">
      <c r="A92" s="24" t="str">
        <f>IF(B92="","",LEFT(B92,1)&amp;"-"&amp;TEXT(COUNTIF($B$5:B92,B92),"000"))</f>
        <v/>
      </c>
      <c r="B92" s="25" t="n"/>
      <c r="C92" s="25" t="n"/>
      <c r="D92" s="25" t="n"/>
      <c r="E92" s="25" t="n"/>
      <c r="F92" s="25" t="n"/>
      <c r="G92" s="25" t="n"/>
      <c r="H92" s="26" t="str">
        <f>IF(OR(F92="",G92=""),"",F92*G92)</f>
        <v/>
      </c>
      <c r="I92" s="24" t="str">
        <f>IF(H92="","",IF(H92&gt;=RedScore,"Red",IF(H92&gt;=AmberScore,"Amber","Green")))</f>
        <v/>
      </c>
      <c r="J92" s="25" t="n"/>
      <c r="K92" s="25" t="n"/>
      <c r="L92" s="25" t="n"/>
      <c r="M92" s="27" t="n"/>
      <c r="N92" s="25" t="n"/>
      <c r="O92" s="27" t="n"/>
      <c r="P92" s="27" t="n"/>
      <c r="Q92" s="28" t="str">
        <f>IF(AND(N92="Open",H92&lt;&gt;""),H92+(1000-ROW())/10000,"")</f>
        <v/>
      </c>
    </row>
    <row r="93">
      <c r="A93" s="24" t="str">
        <f>IF(B93="","",LEFT(B93,1)&amp;"-"&amp;TEXT(COUNTIF($B$5:B93,B93),"000"))</f>
        <v/>
      </c>
      <c r="B93" s="25" t="n"/>
      <c r="C93" s="25" t="n"/>
      <c r="D93" s="25" t="n"/>
      <c r="E93" s="25" t="n"/>
      <c r="F93" s="25" t="n"/>
      <c r="G93" s="25" t="n"/>
      <c r="H93" s="26" t="str">
        <f>IF(OR(F93="",G93=""),"",F93*G93)</f>
        <v/>
      </c>
      <c r="I93" s="24" t="str">
        <f>IF(H93="","",IF(H93&gt;=RedScore,"Red",IF(H93&gt;=AmberScore,"Amber","Green")))</f>
        <v/>
      </c>
      <c r="J93" s="25" t="n"/>
      <c r="K93" s="25" t="n"/>
      <c r="L93" s="25" t="n"/>
      <c r="M93" s="27" t="n"/>
      <c r="N93" s="25" t="n"/>
      <c r="O93" s="27" t="n"/>
      <c r="P93" s="27" t="n"/>
      <c r="Q93" s="28" t="str">
        <f>IF(AND(N93="Open",H93&lt;&gt;""),H93+(1000-ROW())/10000,"")</f>
        <v/>
      </c>
    </row>
    <row r="94">
      <c r="A94" s="24" t="str">
        <f>IF(B94="","",LEFT(B94,1)&amp;"-"&amp;TEXT(COUNTIF($B$5:B94,B94),"000"))</f>
        <v/>
      </c>
      <c r="B94" s="25" t="n"/>
      <c r="C94" s="25" t="n"/>
      <c r="D94" s="25" t="n"/>
      <c r="E94" s="25" t="n"/>
      <c r="F94" s="25" t="n"/>
      <c r="G94" s="25" t="n"/>
      <c r="H94" s="26" t="str">
        <f>IF(OR(F94="",G94=""),"",F94*G94)</f>
        <v/>
      </c>
      <c r="I94" s="24" t="str">
        <f>IF(H94="","",IF(H94&gt;=RedScore,"Red",IF(H94&gt;=AmberScore,"Amber","Green")))</f>
        <v/>
      </c>
      <c r="J94" s="25" t="n"/>
      <c r="K94" s="25" t="n"/>
      <c r="L94" s="25" t="n"/>
      <c r="M94" s="27" t="n"/>
      <c r="N94" s="25" t="n"/>
      <c r="O94" s="27" t="n"/>
      <c r="P94" s="27" t="n"/>
      <c r="Q94" s="28" t="str">
        <f>IF(AND(N94="Open",H94&lt;&gt;""),H94+(1000-ROW())/10000,"")</f>
        <v/>
      </c>
    </row>
    <row r="95">
      <c r="A95" s="24" t="str">
        <f>IF(B95="","",LEFT(B95,1)&amp;"-"&amp;TEXT(COUNTIF($B$5:B95,B95),"000"))</f>
        <v/>
      </c>
      <c r="B95" s="25" t="n"/>
      <c r="C95" s="25" t="n"/>
      <c r="D95" s="25" t="n"/>
      <c r="E95" s="25" t="n"/>
      <c r="F95" s="25" t="n"/>
      <c r="G95" s="25" t="n"/>
      <c r="H95" s="26" t="str">
        <f>IF(OR(F95="",G95=""),"",F95*G95)</f>
        <v/>
      </c>
      <c r="I95" s="24" t="str">
        <f>IF(H95="","",IF(H95&gt;=RedScore,"Red",IF(H95&gt;=AmberScore,"Amber","Green")))</f>
        <v/>
      </c>
      <c r="J95" s="25" t="n"/>
      <c r="K95" s="25" t="n"/>
      <c r="L95" s="25" t="n"/>
      <c r="M95" s="27" t="n"/>
      <c r="N95" s="25" t="n"/>
      <c r="O95" s="27" t="n"/>
      <c r="P95" s="27" t="n"/>
      <c r="Q95" s="28" t="str">
        <f>IF(AND(N95="Open",H95&lt;&gt;""),H95+(1000-ROW())/10000,"")</f>
        <v/>
      </c>
    </row>
    <row r="96">
      <c r="A96" s="24" t="str">
        <f>IF(B96="","",LEFT(B96,1)&amp;"-"&amp;TEXT(COUNTIF($B$5:B96,B96),"000"))</f>
        <v/>
      </c>
      <c r="B96" s="25" t="n"/>
      <c r="C96" s="25" t="n"/>
      <c r="D96" s="25" t="n"/>
      <c r="E96" s="25" t="n"/>
      <c r="F96" s="25" t="n"/>
      <c r="G96" s="25" t="n"/>
      <c r="H96" s="26" t="str">
        <f>IF(OR(F96="",G96=""),"",F96*G96)</f>
        <v/>
      </c>
      <c r="I96" s="24" t="str">
        <f>IF(H96="","",IF(H96&gt;=RedScore,"Red",IF(H96&gt;=AmberScore,"Amber","Green")))</f>
        <v/>
      </c>
      <c r="J96" s="25" t="n"/>
      <c r="K96" s="25" t="n"/>
      <c r="L96" s="25" t="n"/>
      <c r="M96" s="27" t="n"/>
      <c r="N96" s="25" t="n"/>
      <c r="O96" s="27" t="n"/>
      <c r="P96" s="27" t="n"/>
      <c r="Q96" s="28" t="str">
        <f>IF(AND(N96="Open",H96&lt;&gt;""),H96+(1000-ROW())/10000,"")</f>
        <v/>
      </c>
    </row>
    <row r="97">
      <c r="A97" s="24" t="str">
        <f>IF(B97="","",LEFT(B97,1)&amp;"-"&amp;TEXT(COUNTIF($B$5:B97,B97),"000"))</f>
        <v/>
      </c>
      <c r="B97" s="25" t="n"/>
      <c r="C97" s="25" t="n"/>
      <c r="D97" s="25" t="n"/>
      <c r="E97" s="25" t="n"/>
      <c r="F97" s="25" t="n"/>
      <c r="G97" s="25" t="n"/>
      <c r="H97" s="26" t="str">
        <f>IF(OR(F97="",G97=""),"",F97*G97)</f>
        <v/>
      </c>
      <c r="I97" s="24" t="str">
        <f>IF(H97="","",IF(H97&gt;=RedScore,"Red",IF(H97&gt;=AmberScore,"Amber","Green")))</f>
        <v/>
      </c>
      <c r="J97" s="25" t="n"/>
      <c r="K97" s="25" t="n"/>
      <c r="L97" s="25" t="n"/>
      <c r="M97" s="27" t="n"/>
      <c r="N97" s="25" t="n"/>
      <c r="O97" s="27" t="n"/>
      <c r="P97" s="27" t="n"/>
      <c r="Q97" s="28" t="str">
        <f>IF(AND(N97="Open",H97&lt;&gt;""),H97+(1000-ROW())/10000,"")</f>
        <v/>
      </c>
    </row>
    <row r="98">
      <c r="A98" s="24" t="str">
        <f>IF(B98="","",LEFT(B98,1)&amp;"-"&amp;TEXT(COUNTIF($B$5:B98,B98),"000"))</f>
        <v/>
      </c>
      <c r="B98" s="25" t="n"/>
      <c r="C98" s="25" t="n"/>
      <c r="D98" s="25" t="n"/>
      <c r="E98" s="25" t="n"/>
      <c r="F98" s="25" t="n"/>
      <c r="G98" s="25" t="n"/>
      <c r="H98" s="26" t="str">
        <f>IF(OR(F98="",G98=""),"",F98*G98)</f>
        <v/>
      </c>
      <c r="I98" s="24" t="str">
        <f>IF(H98="","",IF(H98&gt;=RedScore,"Red",IF(H98&gt;=AmberScore,"Amber","Green")))</f>
        <v/>
      </c>
      <c r="J98" s="25" t="n"/>
      <c r="K98" s="25" t="n"/>
      <c r="L98" s="25" t="n"/>
      <c r="M98" s="27" t="n"/>
      <c r="N98" s="25" t="n"/>
      <c r="O98" s="27" t="n"/>
      <c r="P98" s="27" t="n"/>
      <c r="Q98" s="28" t="str">
        <f>IF(AND(N98="Open",H98&lt;&gt;""),H98+(1000-ROW())/10000,"")</f>
        <v/>
      </c>
    </row>
    <row r="99">
      <c r="A99" s="24" t="str">
        <f>IF(B99="","",LEFT(B99,1)&amp;"-"&amp;TEXT(COUNTIF($B$5:B99,B99),"000"))</f>
        <v/>
      </c>
      <c r="B99" s="25" t="n"/>
      <c r="C99" s="25" t="n"/>
      <c r="D99" s="25" t="n"/>
      <c r="E99" s="25" t="n"/>
      <c r="F99" s="25" t="n"/>
      <c r="G99" s="25" t="n"/>
      <c r="H99" s="26" t="str">
        <f>IF(OR(F99="",G99=""),"",F99*G99)</f>
        <v/>
      </c>
      <c r="I99" s="24" t="str">
        <f>IF(H99="","",IF(H99&gt;=RedScore,"Red",IF(H99&gt;=AmberScore,"Amber","Green")))</f>
        <v/>
      </c>
      <c r="J99" s="25" t="n"/>
      <c r="K99" s="25" t="n"/>
      <c r="L99" s="25" t="n"/>
      <c r="M99" s="27" t="n"/>
      <c r="N99" s="25" t="n"/>
      <c r="O99" s="27" t="n"/>
      <c r="P99" s="27" t="n"/>
      <c r="Q99" s="28" t="str">
        <f>IF(AND(N99="Open",H99&lt;&gt;""),H99+(1000-ROW())/10000,"")</f>
        <v/>
      </c>
    </row>
    <row r="100">
      <c r="A100" s="24" t="str">
        <f>IF(B100="","",LEFT(B100,1)&amp;"-"&amp;TEXT(COUNTIF($B$5:B100,B100),"000"))</f>
        <v/>
      </c>
      <c r="B100" s="25" t="n"/>
      <c r="C100" s="25" t="n"/>
      <c r="D100" s="25" t="n"/>
      <c r="E100" s="25" t="n"/>
      <c r="F100" s="25" t="n"/>
      <c r="G100" s="25" t="n"/>
      <c r="H100" s="26" t="str">
        <f>IF(OR(F100="",G100=""),"",F100*G100)</f>
        <v/>
      </c>
      <c r="I100" s="24" t="str">
        <f>IF(H100="","",IF(H100&gt;=RedScore,"Red",IF(H100&gt;=AmberScore,"Amber","Green")))</f>
        <v/>
      </c>
      <c r="J100" s="25" t="n"/>
      <c r="K100" s="25" t="n"/>
      <c r="L100" s="25" t="n"/>
      <c r="M100" s="27" t="n"/>
      <c r="N100" s="25" t="n"/>
      <c r="O100" s="27" t="n"/>
      <c r="P100" s="27" t="n"/>
      <c r="Q100" s="28" t="str">
        <f>IF(AND(N100="Open",H100&lt;&gt;""),H100+(1000-ROW())/10000,"")</f>
        <v/>
      </c>
    </row>
    <row r="101">
      <c r="A101" s="24" t="str">
        <f>IF(B101="","",LEFT(B101,1)&amp;"-"&amp;TEXT(COUNTIF($B$5:B101,B101),"000"))</f>
        <v/>
      </c>
      <c r="B101" s="25" t="n"/>
      <c r="C101" s="25" t="n"/>
      <c r="D101" s="25" t="n"/>
      <c r="E101" s="25" t="n"/>
      <c r="F101" s="25" t="n"/>
      <c r="G101" s="25" t="n"/>
      <c r="H101" s="26" t="str">
        <f>IF(OR(F101="",G101=""),"",F101*G101)</f>
        <v/>
      </c>
      <c r="I101" s="24" t="str">
        <f>IF(H101="","",IF(H101&gt;=RedScore,"Red",IF(H101&gt;=AmberScore,"Amber","Green")))</f>
        <v/>
      </c>
      <c r="J101" s="25" t="n"/>
      <c r="K101" s="25" t="n"/>
      <c r="L101" s="25" t="n"/>
      <c r="M101" s="27" t="n"/>
      <c r="N101" s="25" t="n"/>
      <c r="O101" s="27" t="n"/>
      <c r="P101" s="27" t="n"/>
      <c r="Q101" s="28" t="str">
        <f>IF(AND(N101="Open",H101&lt;&gt;""),H101+(1000-ROW())/10000,"")</f>
        <v/>
      </c>
    </row>
    <row r="102">
      <c r="A102" s="24" t="str">
        <f>IF(B102="","",LEFT(B102,1)&amp;"-"&amp;TEXT(COUNTIF($B$5:B102,B102),"000"))</f>
        <v/>
      </c>
      <c r="B102" s="25" t="n"/>
      <c r="C102" s="25" t="n"/>
      <c r="D102" s="25" t="n"/>
      <c r="E102" s="25" t="n"/>
      <c r="F102" s="25" t="n"/>
      <c r="G102" s="25" t="n"/>
      <c r="H102" s="26" t="str">
        <f>IF(OR(F102="",G102=""),"",F102*G102)</f>
        <v/>
      </c>
      <c r="I102" s="24" t="str">
        <f>IF(H102="","",IF(H102&gt;=RedScore,"Red",IF(H102&gt;=AmberScore,"Amber","Green")))</f>
        <v/>
      </c>
      <c r="J102" s="25" t="n"/>
      <c r="K102" s="25" t="n"/>
      <c r="L102" s="25" t="n"/>
      <c r="M102" s="27" t="n"/>
      <c r="N102" s="25" t="n"/>
      <c r="O102" s="27" t="n"/>
      <c r="P102" s="27" t="n"/>
      <c r="Q102" s="28" t="str">
        <f>IF(AND(N102="Open",H102&lt;&gt;""),H102+(1000-ROW())/10000,"")</f>
        <v/>
      </c>
    </row>
    <row r="103">
      <c r="A103" s="24" t="str">
        <f>IF(B103="","",LEFT(B103,1)&amp;"-"&amp;TEXT(COUNTIF($B$5:B103,B103),"000"))</f>
        <v/>
      </c>
      <c r="B103" s="25" t="n"/>
      <c r="C103" s="25" t="n"/>
      <c r="D103" s="25" t="n"/>
      <c r="E103" s="25" t="n"/>
      <c r="F103" s="25" t="n"/>
      <c r="G103" s="25" t="n"/>
      <c r="H103" s="26" t="str">
        <f>IF(OR(F103="",G103=""),"",F103*G103)</f>
        <v/>
      </c>
      <c r="I103" s="24" t="str">
        <f>IF(H103="","",IF(H103&gt;=RedScore,"Red",IF(H103&gt;=AmberScore,"Amber","Green")))</f>
        <v/>
      </c>
      <c r="J103" s="25" t="n"/>
      <c r="K103" s="25" t="n"/>
      <c r="L103" s="25" t="n"/>
      <c r="M103" s="27" t="n"/>
      <c r="N103" s="25" t="n"/>
      <c r="O103" s="27" t="n"/>
      <c r="P103" s="27" t="n"/>
      <c r="Q103" s="28" t="str">
        <f>IF(AND(N103="Open",H103&lt;&gt;""),H103+(1000-ROW())/10000,"")</f>
        <v/>
      </c>
    </row>
    <row r="104">
      <c r="A104" s="24" t="str">
        <f>IF(B104="","",LEFT(B104,1)&amp;"-"&amp;TEXT(COUNTIF($B$5:B104,B104),"000"))</f>
        <v/>
      </c>
      <c r="B104" s="25" t="n"/>
      <c r="C104" s="25" t="n"/>
      <c r="D104" s="25" t="n"/>
      <c r="E104" s="25" t="n"/>
      <c r="F104" s="25" t="n"/>
      <c r="G104" s="25" t="n"/>
      <c r="H104" s="26" t="str">
        <f>IF(OR(F104="",G104=""),"",F104*G104)</f>
        <v/>
      </c>
      <c r="I104" s="24" t="str">
        <f>IF(H104="","",IF(H104&gt;=RedScore,"Red",IF(H104&gt;=AmberScore,"Amber","Green")))</f>
        <v/>
      </c>
      <c r="J104" s="25" t="n"/>
      <c r="K104" s="25" t="n"/>
      <c r="L104" s="25" t="n"/>
      <c r="M104" s="27" t="n"/>
      <c r="N104" s="25" t="n"/>
      <c r="O104" s="27" t="n"/>
      <c r="P104" s="27" t="n"/>
      <c r="Q104" s="28" t="str">
        <f>IF(AND(N104="Open",H104&lt;&gt;""),H104+(1000-ROW())/10000,"")</f>
        <v/>
      </c>
    </row>
  </sheetData>
  <autoFilter ref="A4:Q104"/>
  <conditionalFormatting sqref="I5:I104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5">
    <dataValidation sqref="B5:B104" showDropDown="0" showInputMessage="0" showErrorMessage="0" allowBlank="1" type="list">
      <formula1>=RAIDTypeList</formula1>
    </dataValidation>
    <dataValidation sqref="F5:F104" showDropDown="0" showInputMessage="0" showErrorMessage="0" allowBlank="1" type="list">
      <formula1>=ScoreList</formula1>
    </dataValidation>
    <dataValidation sqref="G5:G104" showDropDown="0" showInputMessage="0" showErrorMessage="0" allowBlank="1" type="list">
      <formula1>=ScoreList</formula1>
    </dataValidation>
    <dataValidation sqref="J5:J104" showDropDown="0" showInputMessage="0" showErrorMessage="0" allowBlank="1" type="list">
      <formula1>=ResponseList</formula1>
    </dataValidation>
    <dataValidation sqref="N5:N104" showDropDown="0" showInputMessage="0" showErrorMessage="0" allowBlank="1" type="list">
      <formula1>=OpenClosedList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9" t="inlineStr">
        <is>
          <t>Status</t>
        </is>
      </c>
      <c r="B4" s="19" t="inlineStr">
        <is>
          <t>Phase</t>
        </is>
      </c>
      <c r="C4" s="19" t="inlineStr">
        <is>
          <t>RAIDType</t>
        </is>
      </c>
      <c r="D4" s="19" t="inlineStr">
        <is>
          <t>Response</t>
        </is>
      </c>
      <c r="E4" s="19" t="inlineStr">
        <is>
          <t>OpenClosed</t>
        </is>
      </c>
      <c r="F4" s="19" t="inlineStr">
        <is>
          <t>RAG</t>
        </is>
      </c>
      <c r="G4" s="19" t="inlineStr">
        <is>
          <t>MoSCoW</t>
        </is>
      </c>
      <c r="H4" s="19" t="inlineStr">
        <is>
          <t>ReqType</t>
        </is>
      </c>
      <c r="I4" s="19" t="inlineStr">
        <is>
          <t>ReqStatus</t>
        </is>
      </c>
      <c r="J4" s="19" t="inlineStr">
        <is>
          <t>Eng</t>
        </is>
      </c>
      <c r="K4" s="19" t="inlineStr">
        <is>
          <t>CRDecision</t>
        </is>
      </c>
      <c r="L4" s="19" t="inlineStr">
        <is>
          <t>SSC</t>
        </is>
      </c>
      <c r="M4" s="19" t="inlineStr">
        <is>
          <t>YesNo</t>
        </is>
      </c>
      <c r="N4" s="19" t="inlineStr">
        <is>
          <t>Approach</t>
        </is>
      </c>
      <c r="O4" s="19" t="inlineStr">
        <is>
          <t>Size</t>
        </is>
      </c>
      <c r="P4" s="19" t="inlineStr">
        <is>
          <t>BudgetCat</t>
        </is>
      </c>
      <c r="Q4" s="19" t="inlineStr">
        <is>
          <t>CostType</t>
        </is>
      </c>
      <c r="R4" s="19" t="inlineStr">
        <is>
          <t>LessonStatus</t>
        </is>
      </c>
      <c r="S4" s="19" t="inlineStr">
        <is>
          <t>Score</t>
        </is>
      </c>
    </row>
    <row r="5">
      <c r="A5" s="16" t="inlineStr">
        <is>
          <t>Not started</t>
        </is>
      </c>
      <c r="B5" s="16" t="inlineStr">
        <is>
          <t>Initiating</t>
        </is>
      </c>
      <c r="C5" s="16" t="inlineStr">
        <is>
          <t>Risk</t>
        </is>
      </c>
      <c r="D5" s="16" t="inlineStr">
        <is>
          <t>Avoid</t>
        </is>
      </c>
      <c r="E5" s="16" t="inlineStr">
        <is>
          <t>Open</t>
        </is>
      </c>
      <c r="F5" s="16" t="inlineStr">
        <is>
          <t>Green</t>
        </is>
      </c>
      <c r="G5" s="16" t="inlineStr">
        <is>
          <t>Must</t>
        </is>
      </c>
      <c r="H5" s="16" t="inlineStr">
        <is>
          <t>Functional</t>
        </is>
      </c>
      <c r="I5" s="16" t="inlineStr">
        <is>
          <t>Proposed</t>
        </is>
      </c>
      <c r="J5" s="16" t="inlineStr">
        <is>
          <t>Unaware</t>
        </is>
      </c>
      <c r="K5" s="16" t="inlineStr">
        <is>
          <t>Pending</t>
        </is>
      </c>
      <c r="L5" s="16" t="inlineStr">
        <is>
          <t>Start</t>
        </is>
      </c>
      <c r="M5" s="16" t="inlineStr">
        <is>
          <t>Yes</t>
        </is>
      </c>
      <c r="N5" s="16" t="inlineStr">
        <is>
          <t>Predictive</t>
        </is>
      </c>
      <c r="O5" s="16" t="inlineStr">
        <is>
          <t>Small</t>
        </is>
      </c>
      <c r="P5" s="16" t="inlineStr">
        <is>
          <t>Labor</t>
        </is>
      </c>
      <c r="Q5" s="16" t="inlineStr">
        <is>
          <t>Labor</t>
        </is>
      </c>
      <c r="R5" s="16" t="inlineStr">
        <is>
          <t>Open</t>
        </is>
      </c>
      <c r="S5" s="16" t="n">
        <v>1</v>
      </c>
    </row>
    <row r="6">
      <c r="A6" s="16" t="inlineStr">
        <is>
          <t>In progress</t>
        </is>
      </c>
      <c r="B6" s="16" t="inlineStr">
        <is>
          <t>Planning</t>
        </is>
      </c>
      <c r="C6" s="16" t="inlineStr">
        <is>
          <t>Assumption</t>
        </is>
      </c>
      <c r="D6" s="16" t="inlineStr">
        <is>
          <t>Mitigate</t>
        </is>
      </c>
      <c r="E6" s="16" t="inlineStr">
        <is>
          <t>Closed</t>
        </is>
      </c>
      <c r="F6" s="16" t="inlineStr">
        <is>
          <t>Amber</t>
        </is>
      </c>
      <c r="G6" s="16" t="inlineStr">
        <is>
          <t>Should</t>
        </is>
      </c>
      <c r="H6" s="16" t="inlineStr">
        <is>
          <t>Non-functional</t>
        </is>
      </c>
      <c r="I6" s="16" t="inlineStr">
        <is>
          <t>Approved</t>
        </is>
      </c>
      <c r="J6" s="16" t="inlineStr">
        <is>
          <t>Resistant</t>
        </is>
      </c>
      <c r="K6" s="16" t="inlineStr">
        <is>
          <t>Approved</t>
        </is>
      </c>
      <c r="L6" s="16" t="inlineStr">
        <is>
          <t>Stop</t>
        </is>
      </c>
      <c r="M6" s="16" t="inlineStr">
        <is>
          <t>No</t>
        </is>
      </c>
      <c r="N6" s="16" t="inlineStr">
        <is>
          <t>Agile</t>
        </is>
      </c>
      <c r="O6" s="16" t="inlineStr">
        <is>
          <t>Medium</t>
        </is>
      </c>
      <c r="P6" s="16" t="inlineStr">
        <is>
          <t>Vendors &amp; contractors</t>
        </is>
      </c>
      <c r="Q6" s="16" t="inlineStr">
        <is>
          <t>Non-labor</t>
        </is>
      </c>
      <c r="R6" s="16" t="inlineStr">
        <is>
          <t>Actioned</t>
        </is>
      </c>
      <c r="S6" s="16" t="n">
        <v>2</v>
      </c>
    </row>
    <row r="7">
      <c r="A7" s="16" t="inlineStr">
        <is>
          <t>Complete</t>
        </is>
      </c>
      <c r="B7" s="16" t="inlineStr">
        <is>
          <t>Executing</t>
        </is>
      </c>
      <c r="C7" s="16" t="inlineStr">
        <is>
          <t>Issue</t>
        </is>
      </c>
      <c r="D7" s="16" t="inlineStr">
        <is>
          <t>Transfer</t>
        </is>
      </c>
      <c r="F7" s="16" t="inlineStr">
        <is>
          <t>Red</t>
        </is>
      </c>
      <c r="G7" s="16" t="inlineStr">
        <is>
          <t>Could</t>
        </is>
      </c>
      <c r="H7" s="16" t="inlineStr">
        <is>
          <t>Constraint</t>
        </is>
      </c>
      <c r="I7" s="16" t="inlineStr">
        <is>
          <t>In progress</t>
        </is>
      </c>
      <c r="J7" s="16" t="inlineStr">
        <is>
          <t>Neutral</t>
        </is>
      </c>
      <c r="K7" s="16" t="inlineStr">
        <is>
          <t>Rejected</t>
        </is>
      </c>
      <c r="L7" s="16" t="inlineStr">
        <is>
          <t>Continue</t>
        </is>
      </c>
      <c r="N7" s="16" t="inlineStr">
        <is>
          <t>Hybrid</t>
        </is>
      </c>
      <c r="O7" s="16" t="inlineStr">
        <is>
          <t>Large</t>
        </is>
      </c>
      <c r="P7" s="16" t="inlineStr">
        <is>
          <t>Software &amp; licenses</t>
        </is>
      </c>
      <c r="Q7" s="16" t="inlineStr">
        <is>
          <t>Reserve</t>
        </is>
      </c>
      <c r="R7" s="16" t="inlineStr">
        <is>
          <t>Closed</t>
        </is>
      </c>
      <c r="S7" s="16" t="n">
        <v>3</v>
      </c>
    </row>
    <row r="8">
      <c r="A8" s="16" t="inlineStr">
        <is>
          <t>Blocked</t>
        </is>
      </c>
      <c r="B8" s="16" t="inlineStr">
        <is>
          <t>Monitoring &amp; Controlling</t>
        </is>
      </c>
      <c r="C8" s="16" t="inlineStr">
        <is>
          <t>Dependency</t>
        </is>
      </c>
      <c r="D8" s="16" t="inlineStr">
        <is>
          <t>Accept</t>
        </is>
      </c>
      <c r="G8" s="16" t="inlineStr">
        <is>
          <t>Won't</t>
        </is>
      </c>
      <c r="H8" s="16" t="inlineStr">
        <is>
          <t>Transition</t>
        </is>
      </c>
      <c r="I8" s="16" t="inlineStr">
        <is>
          <t>Done</t>
        </is>
      </c>
      <c r="J8" s="16" t="inlineStr">
        <is>
          <t>Supportive</t>
        </is>
      </c>
      <c r="K8" s="16" t="inlineStr">
        <is>
          <t>Deferred</t>
        </is>
      </c>
      <c r="P8" s="16" t="inlineStr">
        <is>
          <t>Hardware</t>
        </is>
      </c>
      <c r="S8" s="16" t="n">
        <v>4</v>
      </c>
    </row>
    <row r="9">
      <c r="A9" s="16" t="inlineStr">
        <is>
          <t>On hold</t>
        </is>
      </c>
      <c r="B9" s="16" t="inlineStr">
        <is>
          <t>Closing</t>
        </is>
      </c>
      <c r="D9" s="16" t="inlineStr">
        <is>
          <t>Escalate</t>
        </is>
      </c>
      <c r="I9" s="16" t="inlineStr">
        <is>
          <t>Accepted</t>
        </is>
      </c>
      <c r="J9" s="16" t="inlineStr">
        <is>
          <t>Leading</t>
        </is>
      </c>
      <c r="P9" s="16" t="inlineStr">
        <is>
          <t>Training &amp; change</t>
        </is>
      </c>
      <c r="S9" s="16" t="n">
        <v>5</v>
      </c>
    </row>
    <row r="10">
      <c r="D10" s="16" t="inlineStr">
        <is>
          <t>Exploit</t>
        </is>
      </c>
      <c r="I10" s="16" t="inlineStr">
        <is>
          <t>Deferred</t>
        </is>
      </c>
      <c r="P10" s="16" t="inlineStr">
        <is>
          <t>Travel &amp; other</t>
        </is>
      </c>
    </row>
    <row r="11">
      <c r="D11" s="16" t="inlineStr">
        <is>
          <t>Enhance</t>
        </is>
      </c>
      <c r="I11" s="16" t="inlineStr">
        <is>
          <t>Rejected</t>
        </is>
      </c>
      <c r="P11" s="16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